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 of Change" state="visible" r:id="rId4"/>
    <sheet sheetId="2" name="Overview" state="visible" r:id="rId5"/>
    <sheet sheetId="3" name="FunctionList" state="visible" r:id="rId6"/>
    <sheet sheetId="4" name="Test Report" state="visible" r:id="rId7"/>
    <sheet sheetId="5" name="F01 getApiErrorMessage" state="visible" r:id="rId8"/>
    <sheet sheetId="6" name="F02 getApiSuccessMessage" state="visible" r:id="rId9"/>
    <sheet sheetId="7" name="F03 authApi.sendOtp" state="visible" r:id="rId10"/>
    <sheet sheetId="8" name="F04 authApi.verifyOtp" state="visible" r:id="rId11"/>
    <sheet sheetId="9" name="F05 authApi.registerPersonal" state="visible" r:id="rId12"/>
    <sheet sheetId="10" name="F06 authApi.registerBusiness" state="visible" r:id="rId13"/>
    <sheet sheetId="11" name="F07 authApi.googleLogin" state="visible" r:id="rId14"/>
    <sheet sheetId="12" name="F08 Request interceptor (gắn to" state="visible" r:id="rId15"/>
    <sheet sheetId="13" name="F09 Response interceptor - chuẩ" state="visible" r:id="rId16"/>
    <sheet sheetId="14" name="F10 Response interceptor - refr" state="visible" r:id="rId17"/>
    <sheet sheetId="15" name="F11 Response interceptor - lỗi" state="visible" r:id="rId18"/>
    <sheet sheetId="16" name="F12 MAIN_CATEGORIES" state="visible" r:id="rId19"/>
    <sheet sheetId="17" name="F13 GENERAL_FILTERS" state="visible" r:id="rId20"/>
    <sheet sheetId="18" name="F14 SPECIFIC_FILTERS" state="visible" r:id="rId21"/>
    <sheet sheetId="19" name="F15 apiClient (module export)" state="visible" r:id="rId22"/>
  </sheets>
  <calcPr calcId="171027"/>
</workbook>
</file>

<file path=xl/sharedStrings.xml><?xml version="1.0" encoding="utf-8"?>
<sst xmlns="http://schemas.openxmlformats.org/spreadsheetml/2006/main" count="855" uniqueCount="304">
  <si>
    <t>Effective Date</t>
  </si>
  <si>
    <t>Version</t>
  </si>
  <si>
    <t>Change Item</t>
  </si>
  <si>
    <t>*A,D,M</t>
  </si>
  <si>
    <t>Change description</t>
  </si>
  <si>
    <t>Reference</t>
  </si>
  <si>
    <t>14/08/2026</t>
  </si>
  <si>
    <t>1.0</t>
  </si>
  <si>
    <t>All sheets</t>
  </si>
  <si>
    <t>A</t>
  </si>
  <si>
    <t>Initial version of Unit Test Specification (Jest + jest-expo, 57 test cases)</t>
  </si>
  <si>
    <t>None</t>
  </si>
  <si>
    <t>UNIT TEST SPECIFICATION - GENERAL INFORMATION</t>
  </si>
  <si>
    <t>Project</t>
  </si>
  <si>
    <t>HomeCycle Mobile</t>
  </si>
  <si>
    <t>Module</t>
  </si>
  <si>
    <t>Mobile application (Expo SDK 54, React Native 0.81, TypeScript)</t>
  </si>
  <si>
    <t>Document name</t>
  </si>
  <si>
    <t>Unit Test Specification</t>
  </si>
  <si>
    <t>Created By</t>
  </si>
  <si>
    <t>TBD</t>
  </si>
  <si>
    <t>Executed By</t>
  </si>
  <si>
    <t>Unit test framework</t>
  </si>
  <si>
    <t>Jest 29 + jest-expo 54 + @testing-library/react-native 14</t>
  </si>
  <si>
    <t>Test command</t>
  </si>
  <si>
    <t>npm test</t>
  </si>
  <si>
    <t>Test file location</t>
  </si>
  <si>
    <t>__tests__/ (root project)</t>
  </si>
  <si>
    <t>Scope of functions under test</t>
  </si>
  <si>
    <t>src/utils/apiFeedback.ts, src/services/apis/authApi.ts, src/services/apis/axiosClient.ts, src/constants/filters.ts</t>
  </si>
  <si>
    <t>Number of functions</t>
  </si>
  <si>
    <t>15</t>
  </si>
  <si>
    <t>Number of unit test cases</t>
  </si>
  <si>
    <t>57</t>
  </si>
  <si>
    <t>Test result</t>
  </si>
  <si>
    <t>All passed (P)</t>
  </si>
  <si>
    <t>Remark</t>
  </si>
  <si>
    <t>Unit test cases are grouped by function. Each function sheet presents test cases with condition (precondition + input) and confirmation (expected result).</t>
  </si>
  <si>
    <t>STT</t>
  </si>
  <si>
    <t>Function code</t>
  </si>
  <si>
    <t>Class / File</t>
  </si>
  <si>
    <t>Function Name</t>
  </si>
  <si>
    <t>Function description</t>
  </si>
  <si>
    <t>Lines of code (LOC)</t>
  </si>
  <si>
    <t>TC: Normal</t>
  </si>
  <si>
    <t>TC: Boundary</t>
  </si>
  <si>
    <t>TC: Abnormal</t>
  </si>
  <si>
    <t>TC: Total</t>
  </si>
  <si>
    <r>
      <t>Normal number of TC/KLOC</t>
    </r>
    <r>
      <rPr>
        <i/>
      </rPr>
      <t xml:space="preserve">
(fill value)</t>
    </r>
  </si>
  <si>
    <t>Required TC</t>
  </si>
  <si>
    <t>Lack of test cases</t>
  </si>
  <si>
    <t>Link</t>
  </si>
  <si>
    <t>F01</t>
  </si>
  <si>
    <t>src/utils/apiFeedback.ts</t>
  </si>
  <si>
    <t>getApiErrorMessage</t>
  </si>
  <si>
    <t>Trả về thông báo lỗi phù hợp khi có lỗi từ API: 5xx -&gt; thông báo máy chủ, mất kết nối -&gt; thông báo mạng, lỗi khác -&gt; đọc message từ payload hoặc fallback.</t>
  </si>
  <si>
    <t>Open test cases</t>
  </si>
  <si>
    <t>F02</t>
  </si>
  <si>
    <t>getApiSuccessMessage</t>
  </si>
  <si>
    <t>Trả về thông báo thành công từ response hoặc fallback nếu không có.</t>
  </si>
  <si>
    <t>F03</t>
  </si>
  <si>
    <t>src/services/apis/authApi.ts</t>
  </si>
  <si>
    <t>authApi.sendOtp</t>
  </si>
  <si>
    <t>Gửi yêu cầu gửi OTP về /auth/send-otp.</t>
  </si>
  <si>
    <t>F04</t>
  </si>
  <si>
    <t>authApi.verifyOtp</t>
  </si>
  <si>
    <t>Gửi yêu cầu xác thực OTP về /auth/verify-otp.</t>
  </si>
  <si>
    <t>F05</t>
  </si>
  <si>
    <t>authApi.registerPersonal</t>
  </si>
  <si>
    <t>Đăng ký tài khoản cá nhân kèm FormData và token.</t>
  </si>
  <si>
    <t>F06</t>
  </si>
  <si>
    <t>authApi.registerBusiness</t>
  </si>
  <si>
    <t>Đăng ký tài khoản doanh nghiệp chỉ với password.</t>
  </si>
  <si>
    <t>F07</t>
  </si>
  <si>
    <t>authApi.googleLogin</t>
  </si>
  <si>
    <t>Đăng nhập Google với idToken.</t>
  </si>
  <si>
    <t>F08</t>
  </si>
  <si>
    <t>src/services/apis/axiosClient.ts</t>
  </si>
  <si>
    <t>Request interceptor (gắn token)</t>
  </si>
  <si>
    <t>Interceptor request đọc accessToken từ AsyncStorage và gắn vào header Authorization.</t>
  </si>
  <si>
    <t>F09</t>
  </si>
  <si>
    <t>Response interceptor - chuẩn hóa lỗi 5xx</t>
  </si>
  <si>
    <t>Với lỗi 5xx, ghi đè message chuẩn SERVER_ERROR_MESSAGE vào error và response.data.</t>
  </si>
  <si>
    <t>F10</t>
  </si>
  <si>
    <t>Response interceptor - refresh token khi 401</t>
  </si>
  <si>
    <t>Khi 401, gọi /auth/refresh-token, cập nhật token, retry request gốc; các request đồng thời chờ qua queue.</t>
  </si>
  <si>
    <t>F11</t>
  </si>
  <si>
    <t>Response interceptor - lỗi khác</t>
  </si>
  <si>
    <t>Các lỗi không phải 5xx/401 được reject nguyên trạng.</t>
  </si>
  <si>
    <t>F12</t>
  </si>
  <si>
    <t>src/constants/filters.ts</t>
  </si>
  <si>
    <t>MAIN_CATEGORIES</t>
  </si>
  <si>
    <t>Danh sách danh mục chính.</t>
  </si>
  <si>
    <t>F13</t>
  </si>
  <si>
    <t>GENERAL_FILTERS</t>
  </si>
  <si>
    <t>Bộ lọc chung: tình trạng, khoảng giá, ưu tiên.</t>
  </si>
  <si>
    <t>F14</t>
  </si>
  <si>
    <t>SPECIFIC_FILTERS</t>
  </si>
  <si>
    <t>Bộ lọc riêng theo từng danh mục.</t>
  </si>
  <si>
    <t>F15</t>
  </si>
  <si>
    <t>apiClient (module export)</t>
  </si>
  <si>
    <t>Module export instance axios đã cấu hình.</t>
  </si>
  <si>
    <t/>
  </si>
  <si>
    <t>Total</t>
  </si>
  <si>
    <t>P (Passed)</t>
  </si>
  <si>
    <t>F (Failed)</t>
  </si>
  <si>
    <t>Pass rate</t>
  </si>
  <si>
    <t>Sub Total</t>
  </si>
  <si>
    <t>Total functions</t>
  </si>
  <si>
    <t>Total test cases</t>
  </si>
  <si>
    <t>Required test cases (LOC/1000 * norm)</t>
  </si>
  <si>
    <t>Test coverage (Total TC / Required TC)</t>
  </si>
  <si>
    <t>Passed (P)</t>
  </si>
  <si>
    <t>Failed (F)</t>
  </si>
  <si>
    <t>Test successful coverage (P / Total)</t>
  </si>
  <si>
    <t>FUNCTION: F01 - getApiErrorMessage</t>
  </si>
  <si>
    <t>Function name</t>
  </si>
  <si>
    <t>Back to FunctionList</t>
  </si>
  <si>
    <t>No</t>
  </si>
  <si>
    <t>Test case name</t>
  </si>
  <si>
    <t>Type</t>
  </si>
  <si>
    <t>Condition (Precondition / Input values)</t>
  </si>
  <si>
    <t>Confirmation (Expected result)</t>
  </si>
  <si>
    <t>Result (P/F)</t>
  </si>
  <si>
    <t>Remarks</t>
  </si>
  <si>
    <t>Axios error status 500 có message</t>
  </si>
  <si>
    <t>Normal</t>
  </si>
  <si>
    <t xml:space="preserve">Precondition: error là AxiosError có response.
Input: AxiosError(status=500, data={message:'boom'})</t>
  </si>
  <si>
    <t>Kết quả: 'Lỗi máy chủ. Vui lòng thử lại sau.'</t>
  </si>
  <si>
    <t>P</t>
  </si>
  <si>
    <t>P - passed (executed by Jest)</t>
  </si>
  <si>
    <t>Axios error status 503 có message</t>
  </si>
  <si>
    <t xml:space="preserve">Precondition: error là AxiosError có response.
Input: AxiosError(status=503, data={message:'unavailable'})</t>
  </si>
  <si>
    <t>Biên: status chính xác 500</t>
  </si>
  <si>
    <t>Boundary</t>
  </si>
  <si>
    <t xml:space="preserve">Precondition: error là AxiosError có response.
Input: AxiosError(status=500, data={error:{message:'internal'}})</t>
  </si>
  <si>
    <t>Mất kết nối (không có response)</t>
  </si>
  <si>
    <t xml:space="preserve">Precondition: error là AxiosError không có response (network error).
Input: AxiosError(không có response)</t>
  </si>
  <si>
    <t>Kết quả: 'Không thể kết nối đến máy chủ. Vui lòng kiểm tra mạng và thử lại.'</t>
  </si>
  <si>
    <t>Lỗi 400 với response.data.message</t>
  </si>
  <si>
    <t xml:space="preserve">Precondition: error là AxiosError có response.
Input: AxiosError(status=400, data={message:'Email không hợp lệ'})</t>
  </si>
  <si>
    <t>Kết quả: 'Email không hợp lệ'</t>
  </si>
  <si>
    <t>Lỗi 400 với response.data.error.message</t>
  </si>
  <si>
    <t xml:space="preserve">Precondition: error là AxiosError có response.
Input: AxiosError(status=400, data={error:{message:'Sai OTP'}})</t>
  </si>
  <si>
    <t>Kết quả: 'Sai OTP'</t>
  </si>
  <si>
    <t>Lỗi 400 với response.data.data.message</t>
  </si>
  <si>
    <t xml:space="preserve">Precondition: error là AxiosError có response.
Input: AxiosError(status=400, data={data:{message:'Trùng email'}})</t>
  </si>
  <si>
    <t>Kết quả: 'Trùng email'</t>
  </si>
  <si>
    <t>Lỗi 400 với response.data.data.error.message</t>
  </si>
  <si>
    <t xml:space="preserve">Precondition: error là AxiosError có response.
Input: AxiosError(status=400, data={data:{error:{message:'Quá hạn OTP'}}})</t>
  </si>
  <si>
    <t>Kết quả: 'Quá hạn OTP'</t>
  </si>
  <si>
    <t>data là chuỗi (có khoảng trắng 2 đầu)</t>
  </si>
  <si>
    <t xml:space="preserve">Precondition: error là AxiosError có response.
Input: AxiosError(status=400, data='   Server said no   ')</t>
  </si>
  <si>
    <t>Kết quả: 'Server said no' (đã trim)</t>
  </si>
  <si>
    <t>Biên: status 499 (dưới ngưỡng 5xx)</t>
  </si>
  <si>
    <t xml:space="preserve">Precondition: error là AxiosError có response.
Input: AxiosError(status=499, data={message:'custom'})</t>
  </si>
  <si>
    <t>Kết quả: 'custom' (không phải thông báo máy chủ)</t>
  </si>
  <si>
    <t>Payload rỗng</t>
  </si>
  <si>
    <t>Abnormal</t>
  </si>
  <si>
    <t xml:space="preserve">Precondition: error là AxiosError có response.
Input: AxiosError(status=400, data={})</t>
  </si>
  <si>
    <t>Kết quả: fallback 'Không thể thực hiện thao tác. Vui lòng thử lại.'</t>
  </si>
  <si>
    <t>Message chỉ chứa khoảng trắng</t>
  </si>
  <si>
    <t xml:space="preserve">Precondition: error là AxiosError có response.
Input: AxiosError(status=400, data={message:'   '})</t>
  </si>
  <si>
    <t>Payload null</t>
  </si>
  <si>
    <t xml:space="preserve">Precondition: error là AxiosError có response.
Input: AxiosError(status=400, data=null)</t>
  </si>
  <si>
    <t>Payload undefined</t>
  </si>
  <si>
    <t xml:space="preserve">Precondition: error là AxiosError có response.
Input: AxiosError(status=400, data=undefined)</t>
  </si>
  <si>
    <t>Error không phải axios dạng 503</t>
  </si>
  <si>
    <t xml:space="preserve">Precondition: error không phải AxiosError.
Input: {response:{status:503, data:{message:'down'}}}</t>
  </si>
  <si>
    <t>Error không phải axios dạng 400 có data.message</t>
  </si>
  <si>
    <t xml:space="preserve">Precondition: error không phải AxiosError.
Input: {response:{status:400, data:{message:'Bad request'}}}</t>
  </si>
  <si>
    <t>Kết quả: 'Bad request'</t>
  </si>
  <si>
    <t>Plain Error có message</t>
  </si>
  <si>
    <t xml:space="preserve">Precondition: error là Error thông thường.
Input: new Error('Something broke')</t>
  </si>
  <si>
    <t>Kết quả: 'Something broke'</t>
  </si>
  <si>
    <t>Error null</t>
  </si>
  <si>
    <t xml:space="preserve">Precondition: không có error.
Input: null</t>
  </si>
  <si>
    <t>Error undefined</t>
  </si>
  <si>
    <t xml:space="preserve">Precondition: không có error.
Input: undefined</t>
  </si>
  <si>
    <t>Fallback tùy chỉnh</t>
  </si>
  <si>
    <t xml:space="preserve">Precondition: không đọc được message từ payload.
Input: {response:{status:400, data:{}}}, fallback='Xảy ra lỗi'</t>
  </si>
  <si>
    <t>Kết quả: 'Xảy ra lỗi'</t>
  </si>
  <si>
    <t>FUNCTION: F02 - getApiSuccessMessage</t>
  </si>
  <si>
    <t>response.data.message</t>
  </si>
  <si>
    <t xml:space="preserve">Precondition: response hợp lệ.
Input: {data:{message:'Thành công'}}</t>
  </si>
  <si>
    <t>Kết quả: 'Thành công'</t>
  </si>
  <si>
    <t>response.data.error.message</t>
  </si>
  <si>
    <t xml:space="preserve">Precondition: response hợp lệ.
Input: {data:{error:{message:'Đã đăng ký'}}}</t>
  </si>
  <si>
    <t>Kết quả: 'Đã đăng ký'</t>
  </si>
  <si>
    <t>Response là chuỗi</t>
  </si>
  <si>
    <t xml:space="preserve">Precondition: response là chuỗi có khoảng trắng.
Input: '   OK   '</t>
  </si>
  <si>
    <t>Kết quả: 'OK' (đã trim)</t>
  </si>
  <si>
    <t>Response rỗng</t>
  </si>
  <si>
    <t xml:space="preserve">Precondition: response không chứa message.
Input: {}</t>
  </si>
  <si>
    <t>Response null</t>
  </si>
  <si>
    <t xml:space="preserve">Precondition: không có response.
Input: null</t>
  </si>
  <si>
    <t>FUNCTION: F03 - authApi.sendOtp</t>
  </si>
  <si>
    <t>POST đúng endpoint và payload email</t>
  </si>
  <si>
    <t xml:space="preserve">Precondition: axiosClient.post hoạt động bình thường.
Input: email='a@b.com'</t>
  </si>
  <si>
    <t>axiosClient.post được gọi với ('/auth/send-otp', {email:'a@b.com'})</t>
  </si>
  <si>
    <t>Trả về response của axios</t>
  </si>
  <si>
    <t xml:space="preserve">Precondition: post trả về {data:{ok:true}}.
Input: email='a@b.com'</t>
  </si>
  <si>
    <t>Promise resolve với {data:{ok:true}}</t>
  </si>
  <si>
    <t>FUNCTION: F04 - authApi.verifyOtp</t>
  </si>
  <si>
    <t>POST đúng endpoint và payload email + otp</t>
  </si>
  <si>
    <t xml:space="preserve">Precondition: axiosClient.post hoạt động bình thường.
Input: email='a@b.com', otp='123456'</t>
  </si>
  <si>
    <t>axiosClient.post được gọi với ('/auth/verify-otp', {email:'a@b.com', otp:'123456'})</t>
  </si>
  <si>
    <t>Lỗi mạng</t>
  </si>
  <si>
    <t xml:space="preserve">Precondition: post từ chối với Error('network').
Input: email='a@b.com', otp='000000'</t>
  </si>
  <si>
    <t>Promise reject với 'network'</t>
  </si>
  <si>
    <t>FUNCTION: F05 - authApi.registerPersonal</t>
  </si>
  <si>
    <t>POST với FormData + header multipart + registration token</t>
  </si>
  <si>
    <t xml:space="preserve">Precondition: axiosClient.post hoạt động bình thường.
Input: registrationToken='reg-token-1', formData=FormData</t>
  </si>
  <si>
    <t>axiosClient.post được gọi với ('/auth/personal/register', formData, {headers:{'Content-Type':'multipart/form-data','X-Registration-Token':'reg-token-1'}})</t>
  </si>
  <si>
    <t>FUNCTION: F06 - authApi.registerBusiness</t>
  </si>
  <si>
    <t>POST với password + header registration token</t>
  </si>
  <si>
    <t xml:space="preserve">Precondition: axiosClient.post hoạt động bình thường.
Input: token='reg-token-2', password='pass123'</t>
  </si>
  <si>
    <t>axiosClient.post được gọi với ('/auth/business/register', {password:'pass123'}, {headers:{'X-Registration-Token':'reg-token-2'}})</t>
  </si>
  <si>
    <t>Trả về response.data</t>
  </si>
  <si>
    <t xml:space="preserve">Precondition: post trả về {data:{user:{id:1}}}.
Input: token='t', password='p'</t>
  </si>
  <si>
    <t>Promise resolve với {user:{id:1}} (chỉ data)</t>
  </si>
  <si>
    <t>FUNCTION: F07 - authApi.googleLogin</t>
  </si>
  <si>
    <t>POST đúng endpoint và payload idToken</t>
  </si>
  <si>
    <t xml:space="preserve">Precondition: axiosClient.post hoạt động bình thường.
Input: idToken='google-id-token'</t>
  </si>
  <si>
    <t>axiosClient.post được gọi với ('/auth/google-login', {idToken:'google-id-token'})</t>
  </si>
  <si>
    <t>FUNCTION: F08 - Request interceptor (gắn token)</t>
  </si>
  <si>
    <t>Có accessToken</t>
  </si>
  <si>
    <t xml:space="preserve">Precondition: AsyncStorage.getItem('accessToken') trả về 'token-abc'.
Input: config={headers:{}}</t>
  </si>
  <si>
    <t>config.headers.Authorization = 'Bearer token-abc'</t>
  </si>
  <si>
    <t>Không có accessToken</t>
  </si>
  <si>
    <t xml:space="preserve">Precondition: AsyncStorage.getItem('accessToken') trả về null.
Input: config={headers:{}}</t>
  </si>
  <si>
    <t>config.headers.Authorization = undefined</t>
  </si>
  <si>
    <t>Lỗi đọc AsyncStorage</t>
  </si>
  <si>
    <t xml:space="preserve">Precondition: getItem throw Error('storage error').
Input: config={headers:{}}</t>
  </si>
  <si>
    <t>config giữ nguyên {headers:{}}, không bị lỗi</t>
  </si>
  <si>
    <t>FUNCTION: F09 - Response interceptor - chuẩn hóa lỗi 5xx</t>
  </si>
  <si>
    <t>5xx với payload object</t>
  </si>
  <si>
    <t>Precondition: error có response status 500, data={detail:'boom', error:{code:'E1'}}</t>
  </si>
  <si>
    <t>error.userMessage và error.message = SERVER_ERROR_MESSAGE; response.data.message và response.data.error.message = SERVER_ERROR_MESSAGE; các field khác (detail, error.code) được giữ nguyên</t>
  </si>
  <si>
    <t>Biên: status 503</t>
  </si>
  <si>
    <t>Precondition: error có response status 503, data={}</t>
  </si>
  <si>
    <t>response.data.message = SERVER_ERROR_MESSAGE</t>
  </si>
  <si>
    <t>Payload không phải object (chuỗi)</t>
  </si>
  <si>
    <t>Precondition: error có response status 500, data='Internal Server Error'</t>
  </si>
  <si>
    <t>Không crash; response.data.message và response.data.error.message = SERVER_ERROR_MESSAGE</t>
  </si>
  <si>
    <t>FUNCTION: F10 - Response interceptor - refresh token khi 401</t>
  </si>
  <si>
    <t>Refresh thành công và retry request gốc</t>
  </si>
  <si>
    <t xml:space="preserve">Precondition: refreshToken='refresh-token-123' có trong AsyncStorage; POST refresh trả về {accessToken:'new-access', refreshToken:'new-refresh'}; request gốc thành công {status:200}.
Input: error 401 với config={url:'/me', headers:{}}</t>
  </si>
  <si>
    <t>POST đến 'https://homecycle-backend.onrender.com/api/auth/refresh-token' với {refreshToken}; setItem('accessToken','new-access') và setItem('refreshToken','new-refresh'); headers.Authorization của request gốc = 'Bearer new-access'; retry request gốc</t>
  </si>
  <si>
    <t>Không có refreshToken</t>
  </si>
  <si>
    <t xml:space="preserve">Precondition: AsyncStorage.getItem('refreshToken') trả về null.
Input: error 401 với config={url:'/me', headers:{}}</t>
  </si>
  <si>
    <t>Reject với 'No refresh token available'; multiRemove(['accessToken','refreshToken']) được gọi</t>
  </si>
  <si>
    <t>Gọi refresh thất bại</t>
  </si>
  <si>
    <t xml:space="preserve">Precondition: refreshToken có; POST refresh reject Error('refresh failed').
Input: error 401</t>
  </si>
  <si>
    <t>Reject với 'refresh failed'; multiRemove(['accessToken','refreshToken']) được gọi</t>
  </si>
  <si>
    <t>Nhiều 401 đồng thời - chỉ refresh 1 lần</t>
  </si>
  <si>
    <t xml:space="preserve">Precondition: refreshToken có; POST refresh trả về {accessToken:'new-access'}.
Input: 2 error 401 với config khác nhau (/a, /b) gọi đồng thời</t>
  </si>
  <si>
    <t>POST refresh chỉ được gọi 1 lần; cả 2 request được retry; headers của request xếp hàng = 'Bearer new-access'</t>
  </si>
  <si>
    <t>Biên: request đã retry (_retry=true)</t>
  </si>
  <si>
    <t xml:space="preserve">Precondition: config._retry = true.
Input: error 401 với config={url:'/me', headers:{}, _retry:true}</t>
  </si>
  <si>
    <t>Reject error gốc, không gọi refresh</t>
  </si>
  <si>
    <t>Biên: 401 không có config</t>
  </si>
  <si>
    <t xml:space="preserve">Precondition: error.config = null/undefined.
Input: error 401 không có config</t>
  </si>
  <si>
    <t>FUNCTION: F11 - Response interceptor - lỗi khác</t>
  </si>
  <si>
    <t>Lỗi 404</t>
  </si>
  <si>
    <t xml:space="preserve">Precondition: error 404, data={message:'Not found'}.
Input: error 404 với config={url:'/x', headers:{}}</t>
  </si>
  <si>
    <t>Reject error gốc; data không bị biến đổi; không gọi refresh</t>
  </si>
  <si>
    <t>Không có response object</t>
  </si>
  <si>
    <t xml:space="preserve">Precondition: error không có response.
Input: error không response với config={url:'/x', headers:{}}</t>
  </si>
  <si>
    <t>Reject error gốc; không gọi refresh</t>
  </si>
  <si>
    <t>FUNCTION: F12 - MAIN_CATEGORIES</t>
  </si>
  <si>
    <t>Có đúng 3 danh mục</t>
  </si>
  <si>
    <t xml:space="preserve">Precondition: không có.
Input: MAIN_CATEGORIES</t>
  </si>
  <si>
    <t>Độ dài mảng = 3</t>
  </si>
  <si>
    <t>Mỗi danh mục có id và label không rỗng</t>
  </si>
  <si>
    <t xml:space="preserve">Precondition: không có.
Input: từng phần tử MAIN_CATEGORIES</t>
  </si>
  <si>
    <t>id.length &gt; 0 và label.length &gt; 0 với mọi phần tử</t>
  </si>
  <si>
    <t>Id không trùng lặp</t>
  </si>
  <si>
    <t xml:space="preserve">Precondition: không có.
Input: tập các id của MAIN_CATEGORIES</t>
  </si>
  <si>
    <t>Số lượng id duy nhất = số lượng phần tử</t>
  </si>
  <si>
    <t>FUNCTION: F13 - GENERAL_FILTERS</t>
  </si>
  <si>
    <t>Có 5 tình trạng</t>
  </si>
  <si>
    <t xml:space="preserve">Precondition: không có.
Input: GENERAL_FILTERS.conditions</t>
  </si>
  <si>
    <t>Độ dài mảng = 5</t>
  </si>
  <si>
    <t>Có 4 khoảng giá</t>
  </si>
  <si>
    <t xml:space="preserve">Precondition: không có.
Input: GENERAL_FILTERS.priceRanges</t>
  </si>
  <si>
    <t>Độ dài mảng = 4</t>
  </si>
  <si>
    <t>Có 2 ưu tiên</t>
  </si>
  <si>
    <t xml:space="preserve">Precondition: không có.
Input: GENERAL_FILTERS.priorities</t>
  </si>
  <si>
    <t>Độ dài mảng = 2</t>
  </si>
  <si>
    <t>FUNCTION: F14 - SPECIFIC_FILTERS</t>
  </si>
  <si>
    <t>Có cấu hình cho mọi danh mục chính</t>
  </si>
  <si>
    <t xml:space="preserve">Precondition: không có.
Input: SPECIFIC_FILTERS với các id của MAIN_CATEGORIES</t>
  </si>
  <si>
    <t>SPECIFIC_FILTERS có key tương ứng với mọi id danh mục chính</t>
  </si>
  <si>
    <t>dien_may có types, brands và hasWarranty</t>
  </si>
  <si>
    <t xml:space="preserve">Precondition: không có.
Input: SPECIFIC_FILTERS.dien_may</t>
  </si>
  <si>
    <t>types và brands không rỗng; hasWarranty = ['Còn bảo hành','Hết bảo hành']</t>
  </si>
  <si>
    <t>noi_that và sinh_hoat có types, brands và materials</t>
  </si>
  <si>
    <t xml:space="preserve">Precondition: không có.
Input: SPECIFIC_FILTERS.noi_that và SPECIFIC_FILTERS.sinh_hoat</t>
  </si>
  <si>
    <t>Cả hai đều có types, brands, materials không rỗng</t>
  </si>
  <si>
    <t>FUNCTION: F15 - apiClient (module export)</t>
  </si>
  <si>
    <t>Default export là instance từ axios.create</t>
  </si>
  <si>
    <t xml:space="preserve">Precondition: axios.create được mock.
Input: import default của axiosClient</t>
  </si>
  <si>
    <t>Default export === instance do axios.create trả về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</si>
</sst>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E7D32"/>
    </font>
    <font>
      <b/>
      <sz val="14"/>
    </font>
    <font>
      <b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5F949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164" fontId="4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F01 getApiErrorMessage&apos;!A1" TargetMode="External"/><Relationship Id="rId2" Type="http://schemas.openxmlformats.org/officeDocument/2006/relationships/hyperlink" Target="#&apos;F01 getApiErrorMessage&apos;!A1" TargetMode="External"/><Relationship Id="rId3" Type="http://schemas.openxmlformats.org/officeDocument/2006/relationships/hyperlink" Target="#&apos;F02 getApiSuccessMessage&apos;!A1" TargetMode="External"/><Relationship Id="rId4" Type="http://schemas.openxmlformats.org/officeDocument/2006/relationships/hyperlink" Target="#&apos;F02 getApiSuccessMessage&apos;!A1" TargetMode="External"/><Relationship Id="rId5" Type="http://schemas.openxmlformats.org/officeDocument/2006/relationships/hyperlink" Target="#&apos;F03 authApi.sendOtp&apos;!A1" TargetMode="External"/><Relationship Id="rId6" Type="http://schemas.openxmlformats.org/officeDocument/2006/relationships/hyperlink" Target="#&apos;F03 authApi.sendOtp&apos;!A1" TargetMode="External"/><Relationship Id="rId7" Type="http://schemas.openxmlformats.org/officeDocument/2006/relationships/hyperlink" Target="#&apos;F04 authApi.verifyOtp&apos;!A1" TargetMode="External"/><Relationship Id="rId8" Type="http://schemas.openxmlformats.org/officeDocument/2006/relationships/hyperlink" Target="#&apos;F04 authApi.verifyOtp&apos;!A1" TargetMode="External"/><Relationship Id="rId9" Type="http://schemas.openxmlformats.org/officeDocument/2006/relationships/hyperlink" Target="#&apos;F05 authApi.registerPersonal&apos;!A1" TargetMode="External"/><Relationship Id="rId10" Type="http://schemas.openxmlformats.org/officeDocument/2006/relationships/hyperlink" Target="#&apos;F05 authApi.registerPersonal&apos;!A1" TargetMode="External"/><Relationship Id="rId11" Type="http://schemas.openxmlformats.org/officeDocument/2006/relationships/hyperlink" Target="#&apos;F06 authApi.registerBusiness&apos;!A1" TargetMode="External"/><Relationship Id="rId12" Type="http://schemas.openxmlformats.org/officeDocument/2006/relationships/hyperlink" Target="#&apos;F06 authApi.registerBusiness&apos;!A1" TargetMode="External"/><Relationship Id="rId13" Type="http://schemas.openxmlformats.org/officeDocument/2006/relationships/hyperlink" Target="#&apos;F07 authApi.googleLogin&apos;!A1" TargetMode="External"/><Relationship Id="rId14" Type="http://schemas.openxmlformats.org/officeDocument/2006/relationships/hyperlink" Target="#&apos;F07 authApi.googleLogin&apos;!A1" TargetMode="External"/><Relationship Id="rId15" Type="http://schemas.openxmlformats.org/officeDocument/2006/relationships/hyperlink" Target="#&apos;F08 Request interceptor (g&#7855;n to&apos;!A1" TargetMode="External"/><Relationship Id="rId16" Type="http://schemas.openxmlformats.org/officeDocument/2006/relationships/hyperlink" Target="#&apos;F08 Request interceptor (g&#7855;n to&apos;!A1" TargetMode="External"/><Relationship Id="rId17" Type="http://schemas.openxmlformats.org/officeDocument/2006/relationships/hyperlink" Target="#&apos;F09 Response interceptor - chu&#7849;&apos;!A1" TargetMode="External"/><Relationship Id="rId18" Type="http://schemas.openxmlformats.org/officeDocument/2006/relationships/hyperlink" Target="#&apos;F09 Response interceptor - chu&#7849;&apos;!A1" TargetMode="External"/><Relationship Id="rId19" Type="http://schemas.openxmlformats.org/officeDocument/2006/relationships/hyperlink" Target="#&apos;F10 Response interceptor - refr&apos;!A1" TargetMode="External"/><Relationship Id="rId20" Type="http://schemas.openxmlformats.org/officeDocument/2006/relationships/hyperlink" Target="#&apos;F10 Response interceptor - refr&apos;!A1" TargetMode="External"/><Relationship Id="rId21" Type="http://schemas.openxmlformats.org/officeDocument/2006/relationships/hyperlink" Target="#&apos;F11 Response interceptor - l&#7895;i&apos;!A1" TargetMode="External"/><Relationship Id="rId22" Type="http://schemas.openxmlformats.org/officeDocument/2006/relationships/hyperlink" Target="#&apos;F11 Response interceptor - l&#7895;i&apos;!A1" TargetMode="External"/><Relationship Id="rId23" Type="http://schemas.openxmlformats.org/officeDocument/2006/relationships/hyperlink" Target="#&apos;F12 MAIN_CATEGORIES&apos;!A1" TargetMode="External"/><Relationship Id="rId24" Type="http://schemas.openxmlformats.org/officeDocument/2006/relationships/hyperlink" Target="#&apos;F12 MAIN_CATEGORIES&apos;!A1" TargetMode="External"/><Relationship Id="rId25" Type="http://schemas.openxmlformats.org/officeDocument/2006/relationships/hyperlink" Target="#&apos;F13 GENERAL_FILTERS&apos;!A1" TargetMode="External"/><Relationship Id="rId26" Type="http://schemas.openxmlformats.org/officeDocument/2006/relationships/hyperlink" Target="#&apos;F13 GENERAL_FILTERS&apos;!A1" TargetMode="External"/><Relationship Id="rId27" Type="http://schemas.openxmlformats.org/officeDocument/2006/relationships/hyperlink" Target="#&apos;F14 SPECIFIC_FILTERS&apos;!A1" TargetMode="External"/><Relationship Id="rId28" Type="http://schemas.openxmlformats.org/officeDocument/2006/relationships/hyperlink" Target="#&apos;F14 SPECIFIC_FILTERS&apos;!A1" TargetMode="External"/><Relationship Id="rId29" Type="http://schemas.openxmlformats.org/officeDocument/2006/relationships/hyperlink" Target="#&apos;F15 apiClient (module export)&apos;!A1" TargetMode="External"/><Relationship Id="rId30" Type="http://schemas.openxmlformats.org/officeDocument/2006/relationships/hyperlink" Target="#&apos;F15 apiClient (module export)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4" customWidth="1"/>
    <col min="4" max="4" width="10" customWidth="1"/>
    <col min="5" max="5" width="80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0" customWidth="1"/>
    <col min="2" max="2" width="45" customWidth="1"/>
    <col min="3" max="6" width="14" customWidth="1"/>
  </cols>
  <sheetData>
    <row r="1" ht="28" customHeight="1" spans="1:2" x14ac:dyDescent="0.25">
      <c r="A1" s="3" t="s">
        <v>12</v>
      </c>
      <c r="B1" s="3"/>
    </row>
    <row r="3" spans="1:6" x14ac:dyDescent="0.25">
      <c r="A3" s="4" t="s">
        <v>13</v>
      </c>
      <c r="B3" s="2" t="s">
        <v>14</v>
      </c>
      <c r="C3" s="2"/>
      <c r="D3" s="2"/>
      <c r="E3" s="2"/>
      <c r="F3" s="2"/>
    </row>
    <row r="4" spans="1:6" x14ac:dyDescent="0.25">
      <c r="A4" s="4" t="s">
        <v>15</v>
      </c>
      <c r="B4" s="2" t="s">
        <v>16</v>
      </c>
      <c r="C4" s="2"/>
      <c r="D4" s="2"/>
      <c r="E4" s="2"/>
      <c r="F4" s="2"/>
    </row>
    <row r="5" spans="1:6" x14ac:dyDescent="0.25">
      <c r="A5" s="4" t="s">
        <v>17</v>
      </c>
      <c r="B5" s="2" t="s">
        <v>18</v>
      </c>
      <c r="C5" s="2"/>
      <c r="D5" s="2"/>
      <c r="E5" s="2"/>
      <c r="F5" s="2"/>
    </row>
    <row r="6" spans="1:6" x14ac:dyDescent="0.25">
      <c r="A6" s="4" t="s">
        <v>1</v>
      </c>
      <c r="B6" s="2" t="s">
        <v>7</v>
      </c>
      <c r="C6" s="2"/>
      <c r="D6" s="2"/>
      <c r="E6" s="2"/>
      <c r="F6" s="2"/>
    </row>
    <row r="7" spans="1:6" x14ac:dyDescent="0.25">
      <c r="A7" s="4" t="s">
        <v>0</v>
      </c>
      <c r="B7" s="2" t="s">
        <v>6</v>
      </c>
      <c r="C7" s="2"/>
      <c r="D7" s="2"/>
      <c r="E7" s="2"/>
      <c r="F7" s="2"/>
    </row>
    <row r="8" spans="1:6" x14ac:dyDescent="0.25">
      <c r="A8" s="4" t="s">
        <v>19</v>
      </c>
      <c r="B8" s="2" t="s">
        <v>20</v>
      </c>
      <c r="C8" s="2"/>
      <c r="D8" s="2"/>
      <c r="E8" s="2"/>
      <c r="F8" s="2"/>
    </row>
    <row r="9" spans="1:6" x14ac:dyDescent="0.25">
      <c r="A9" s="4" t="s">
        <v>21</v>
      </c>
      <c r="B9" s="2" t="s">
        <v>20</v>
      </c>
      <c r="C9" s="2"/>
      <c r="D9" s="2"/>
      <c r="E9" s="2"/>
      <c r="F9" s="2"/>
    </row>
    <row r="10" spans="1:6" x14ac:dyDescent="0.25">
      <c r="A10" s="4" t="s">
        <v>22</v>
      </c>
      <c r="B10" s="2" t="s">
        <v>23</v>
      </c>
      <c r="C10" s="2"/>
      <c r="D10" s="2"/>
      <c r="E10" s="2"/>
      <c r="F10" s="2"/>
    </row>
    <row r="11" spans="1:6" x14ac:dyDescent="0.25">
      <c r="A11" s="4" t="s">
        <v>24</v>
      </c>
      <c r="B11" s="2" t="s">
        <v>25</v>
      </c>
      <c r="C11" s="2"/>
      <c r="D11" s="2"/>
      <c r="E11" s="2"/>
      <c r="F11" s="2"/>
    </row>
    <row r="12" spans="1:6" x14ac:dyDescent="0.25">
      <c r="A12" s="4" t="s">
        <v>26</v>
      </c>
      <c r="B12" s="2" t="s">
        <v>27</v>
      </c>
      <c r="C12" s="2"/>
      <c r="D12" s="2"/>
      <c r="E12" s="2"/>
      <c r="F12" s="2"/>
    </row>
    <row r="13" spans="1:6" x14ac:dyDescent="0.25">
      <c r="A13" s="4" t="s">
        <v>28</v>
      </c>
      <c r="B13" s="2" t="s">
        <v>29</v>
      </c>
      <c r="C13" s="2"/>
      <c r="D13" s="2"/>
      <c r="E13" s="2"/>
      <c r="F13" s="2"/>
    </row>
    <row r="14" spans="1:6" x14ac:dyDescent="0.25">
      <c r="A14" s="4" t="s">
        <v>30</v>
      </c>
      <c r="B14" s="2" t="s">
        <v>31</v>
      </c>
      <c r="C14" s="2"/>
      <c r="D14" s="2"/>
      <c r="E14" s="2"/>
      <c r="F14" s="2"/>
    </row>
    <row r="15" spans="1:6" x14ac:dyDescent="0.25">
      <c r="A15" s="4" t="s">
        <v>32</v>
      </c>
      <c r="B15" s="2" t="s">
        <v>33</v>
      </c>
      <c r="C15" s="2"/>
      <c r="D15" s="2"/>
      <c r="E15" s="2"/>
      <c r="F15" s="2"/>
    </row>
    <row r="16" spans="1:6" x14ac:dyDescent="0.25">
      <c r="A16" s="4" t="s">
        <v>34</v>
      </c>
      <c r="B16" s="2" t="s">
        <v>35</v>
      </c>
      <c r="C16" s="2"/>
      <c r="D16" s="2"/>
      <c r="E16" s="2"/>
      <c r="F16" s="2"/>
    </row>
    <row r="17" spans="1:6" x14ac:dyDescent="0.25">
      <c r="A17" s="4" t="s">
        <v>36</v>
      </c>
      <c r="B17" s="2" t="s">
        <v>37</v>
      </c>
      <c r="C17" s="2"/>
      <c r="D17" s="2"/>
      <c r="E17" s="2"/>
      <c r="F17" s="2"/>
    </row>
  </sheetData>
  <mergeCells count="16">
    <mergeCell ref="A1:B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2" customWidth="1"/>
    <col min="4" max="4" width="34" customWidth="1"/>
    <col min="5" max="5" width="60" customWidth="1"/>
    <col min="7" max="7" width="8" customWidth="1"/>
    <col min="9" max="9" width="10" customWidth="1"/>
    <col min="10" max="10" width="8" customWidth="1"/>
    <col min="11" max="11" width="12" customWidth="1"/>
    <col min="12" max="13" width="10" customWidth="1"/>
    <col min="14" max="14" width="16" customWidth="1"/>
  </cols>
  <sheetData>
    <row r="1" ht="34" customHeight="1" spans="1:14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</row>
    <row r="2" spans="1:14" x14ac:dyDescent="0.25">
      <c r="A2" s="5">
        <v>1</v>
      </c>
      <c r="B2" s="5" t="s">
        <v>52</v>
      </c>
      <c r="C2" s="5" t="s">
        <v>53</v>
      </c>
      <c r="D2" s="6" t="s">
        <v>54</v>
      </c>
      <c r="E2" s="5" t="s">
        <v>55</v>
      </c>
      <c r="F2" s="5">
        <v>34</v>
      </c>
      <c r="G2" s="5">
        <v>11</v>
      </c>
      <c r="H2" s="5">
        <v>3</v>
      </c>
      <c r="I2" s="5">
        <v>6</v>
      </c>
      <c r="J2" s="5">
        <f>SUM(G2:I2)</f>
        <v>20</v>
      </c>
      <c r="K2" s="5">
        <v>15</v>
      </c>
      <c r="L2" s="5">
        <f>ROUNDUP(F2*K2/1000,0)</f>
        <v>1</v>
      </c>
      <c r="M2" s="5">
        <f>MAX(0,L2-J2)</f>
        <v>0</v>
      </c>
      <c r="N2" s="6" t="s">
        <v>56</v>
      </c>
    </row>
    <row r="3" spans="1:14" x14ac:dyDescent="0.25">
      <c r="A3" s="5">
        <v>2</v>
      </c>
      <c r="B3" s="5" t="s">
        <v>57</v>
      </c>
      <c r="C3" s="5" t="s">
        <v>53</v>
      </c>
      <c r="D3" s="6" t="s">
        <v>58</v>
      </c>
      <c r="E3" s="5" t="s">
        <v>59</v>
      </c>
      <c r="F3" s="5">
        <v>6</v>
      </c>
      <c r="G3" s="5">
        <v>3</v>
      </c>
      <c r="H3" s="5">
        <v>0</v>
      </c>
      <c r="I3" s="5">
        <v>2</v>
      </c>
      <c r="J3" s="5">
        <f>SUM(G3:I3)</f>
        <v>5</v>
      </c>
      <c r="K3" s="5">
        <v>15</v>
      </c>
      <c r="L3" s="5">
        <f>ROUNDUP(F3*K3/1000,0)</f>
        <v>0</v>
      </c>
      <c r="M3" s="5">
        <f>MAX(0,L3-J3)</f>
        <v>0</v>
      </c>
      <c r="N3" s="6" t="s">
        <v>56</v>
      </c>
    </row>
    <row r="4" spans="1:14" x14ac:dyDescent="0.25">
      <c r="A4" s="5">
        <v>3</v>
      </c>
      <c r="B4" s="5" t="s">
        <v>60</v>
      </c>
      <c r="C4" s="5" t="s">
        <v>61</v>
      </c>
      <c r="D4" s="6" t="s">
        <v>62</v>
      </c>
      <c r="E4" s="5" t="s">
        <v>63</v>
      </c>
      <c r="F4" s="5">
        <v>3</v>
      </c>
      <c r="G4" s="5">
        <v>2</v>
      </c>
      <c r="H4" s="5">
        <v>0</v>
      </c>
      <c r="I4" s="5">
        <v>0</v>
      </c>
      <c r="J4" s="5">
        <f>SUM(G4:I4)</f>
        <v>2</v>
      </c>
      <c r="K4" s="5">
        <v>15</v>
      </c>
      <c r="L4" s="5">
        <f>ROUNDUP(F4*K4/1000,0)</f>
        <v>0</v>
      </c>
      <c r="M4" s="5">
        <f>MAX(0,L4-J4)</f>
        <v>0</v>
      </c>
      <c r="N4" s="6" t="s">
        <v>56</v>
      </c>
    </row>
    <row r="5" spans="1:14" x14ac:dyDescent="0.25">
      <c r="A5" s="5">
        <v>4</v>
      </c>
      <c r="B5" s="5" t="s">
        <v>64</v>
      </c>
      <c r="C5" s="5" t="s">
        <v>61</v>
      </c>
      <c r="D5" s="6" t="s">
        <v>65</v>
      </c>
      <c r="E5" s="5" t="s">
        <v>66</v>
      </c>
      <c r="F5" s="5">
        <v>4</v>
      </c>
      <c r="G5" s="5">
        <v>1</v>
      </c>
      <c r="H5" s="5">
        <v>0</v>
      </c>
      <c r="I5" s="5">
        <v>1</v>
      </c>
      <c r="J5" s="5">
        <f>SUM(G5:I5)</f>
        <v>2</v>
      </c>
      <c r="K5" s="5">
        <v>15</v>
      </c>
      <c r="L5" s="5">
        <f>ROUNDUP(F5*K5/1000,0)</f>
        <v>0</v>
      </c>
      <c r="M5" s="5">
        <f>MAX(0,L5-J5)</f>
        <v>0</v>
      </c>
      <c r="N5" s="6" t="s">
        <v>56</v>
      </c>
    </row>
    <row r="6" spans="1:14" x14ac:dyDescent="0.25">
      <c r="A6" s="5">
        <v>5</v>
      </c>
      <c r="B6" s="5" t="s">
        <v>67</v>
      </c>
      <c r="C6" s="5" t="s">
        <v>61</v>
      </c>
      <c r="D6" s="6" t="s">
        <v>68</v>
      </c>
      <c r="E6" s="5" t="s">
        <v>69</v>
      </c>
      <c r="F6" s="5">
        <v>7</v>
      </c>
      <c r="G6" s="5">
        <v>1</v>
      </c>
      <c r="H6" s="5">
        <v>0</v>
      </c>
      <c r="I6" s="5">
        <v>0</v>
      </c>
      <c r="J6" s="5">
        <f>SUM(G6:I6)</f>
        <v>1</v>
      </c>
      <c r="K6" s="5">
        <v>15</v>
      </c>
      <c r="L6" s="5">
        <f>ROUNDUP(F6*K6/1000,0)</f>
        <v>0</v>
      </c>
      <c r="M6" s="5">
        <f>MAX(0,L6-J6)</f>
        <v>0</v>
      </c>
      <c r="N6" s="6" t="s">
        <v>56</v>
      </c>
    </row>
    <row r="7" spans="1:14" x14ac:dyDescent="0.25">
      <c r="A7" s="5">
        <v>6</v>
      </c>
      <c r="B7" s="5" t="s">
        <v>70</v>
      </c>
      <c r="C7" s="5" t="s">
        <v>61</v>
      </c>
      <c r="D7" s="6" t="s">
        <v>71</v>
      </c>
      <c r="E7" s="5" t="s">
        <v>72</v>
      </c>
      <c r="F7" s="5">
        <v>10</v>
      </c>
      <c r="G7" s="5">
        <v>2</v>
      </c>
      <c r="H7" s="5">
        <v>0</v>
      </c>
      <c r="I7" s="5">
        <v>0</v>
      </c>
      <c r="J7" s="5">
        <f>SUM(G7:I7)</f>
        <v>2</v>
      </c>
      <c r="K7" s="5">
        <v>15</v>
      </c>
      <c r="L7" s="5">
        <f>ROUNDUP(F7*K7/1000,0)</f>
        <v>0</v>
      </c>
      <c r="M7" s="5">
        <f>MAX(0,L7-J7)</f>
        <v>0</v>
      </c>
      <c r="N7" s="6" t="s">
        <v>56</v>
      </c>
    </row>
    <row r="8" spans="1:14" x14ac:dyDescent="0.25">
      <c r="A8" s="5">
        <v>7</v>
      </c>
      <c r="B8" s="5" t="s">
        <v>73</v>
      </c>
      <c r="C8" s="5" t="s">
        <v>61</v>
      </c>
      <c r="D8" s="6" t="s">
        <v>74</v>
      </c>
      <c r="E8" s="5" t="s">
        <v>75</v>
      </c>
      <c r="F8" s="5">
        <v>3</v>
      </c>
      <c r="G8" s="5">
        <v>1</v>
      </c>
      <c r="H8" s="5">
        <v>0</v>
      </c>
      <c r="I8" s="5">
        <v>0</v>
      </c>
      <c r="J8" s="5">
        <f>SUM(G8:I8)</f>
        <v>1</v>
      </c>
      <c r="K8" s="5">
        <v>15</v>
      </c>
      <c r="L8" s="5">
        <f>ROUNDUP(F8*K8/1000,0)</f>
        <v>0</v>
      </c>
      <c r="M8" s="5">
        <f>MAX(0,L8-J8)</f>
        <v>0</v>
      </c>
      <c r="N8" s="6" t="s">
        <v>56</v>
      </c>
    </row>
    <row r="9" spans="1:14" x14ac:dyDescent="0.25">
      <c r="A9" s="5">
        <v>8</v>
      </c>
      <c r="B9" s="5" t="s">
        <v>76</v>
      </c>
      <c r="C9" s="5" t="s">
        <v>77</v>
      </c>
      <c r="D9" s="6" t="s">
        <v>78</v>
      </c>
      <c r="E9" s="5" t="s">
        <v>79</v>
      </c>
      <c r="F9" s="5">
        <v>23</v>
      </c>
      <c r="G9" s="5">
        <v>2</v>
      </c>
      <c r="H9" s="5">
        <v>0</v>
      </c>
      <c r="I9" s="5">
        <v>1</v>
      </c>
      <c r="J9" s="5">
        <f>SUM(G9:I9)</f>
        <v>3</v>
      </c>
      <c r="K9" s="5">
        <v>15</v>
      </c>
      <c r="L9" s="5">
        <f>ROUNDUP(F9*K9/1000,0)</f>
        <v>0</v>
      </c>
      <c r="M9" s="5">
        <f>MAX(0,L9-J9)</f>
        <v>0</v>
      </c>
      <c r="N9" s="6" t="s">
        <v>56</v>
      </c>
    </row>
    <row r="10" spans="1:14" x14ac:dyDescent="0.25">
      <c r="A10" s="5">
        <v>9</v>
      </c>
      <c r="B10" s="5" t="s">
        <v>80</v>
      </c>
      <c r="C10" s="5" t="s">
        <v>77</v>
      </c>
      <c r="D10" s="6" t="s">
        <v>81</v>
      </c>
      <c r="E10" s="5" t="s">
        <v>82</v>
      </c>
      <c r="F10" s="5">
        <v>35</v>
      </c>
      <c r="G10" s="5">
        <v>1</v>
      </c>
      <c r="H10" s="5">
        <v>1</v>
      </c>
      <c r="I10" s="5">
        <v>1</v>
      </c>
      <c r="J10" s="5">
        <f>SUM(G10:I10)</f>
        <v>3</v>
      </c>
      <c r="K10" s="5">
        <v>15</v>
      </c>
      <c r="L10" s="5">
        <f>ROUNDUP(F10*K10/1000,0)</f>
        <v>1</v>
      </c>
      <c r="M10" s="5">
        <f>MAX(0,L10-J10)</f>
        <v>0</v>
      </c>
      <c r="N10" s="6" t="s">
        <v>56</v>
      </c>
    </row>
    <row r="11" spans="1:14" x14ac:dyDescent="0.25">
      <c r="A11" s="5">
        <v>10</v>
      </c>
      <c r="B11" s="5" t="s">
        <v>83</v>
      </c>
      <c r="C11" s="5" t="s">
        <v>77</v>
      </c>
      <c r="D11" s="6" t="s">
        <v>84</v>
      </c>
      <c r="E11" s="5" t="s">
        <v>85</v>
      </c>
      <c r="F11" s="5">
        <v>96</v>
      </c>
      <c r="G11" s="5">
        <v>2</v>
      </c>
      <c r="H11" s="5">
        <v>2</v>
      </c>
      <c r="I11" s="5">
        <v>2</v>
      </c>
      <c r="J11" s="5">
        <f>SUM(G11:I11)</f>
        <v>6</v>
      </c>
      <c r="K11" s="5">
        <v>15</v>
      </c>
      <c r="L11" s="5">
        <f>ROUNDUP(F11*K11/1000,0)</f>
        <v>1</v>
      </c>
      <c r="M11" s="5">
        <f>MAX(0,L11-J11)</f>
        <v>0</v>
      </c>
      <c r="N11" s="6" t="s">
        <v>56</v>
      </c>
    </row>
    <row r="12" spans="1:14" x14ac:dyDescent="0.25">
      <c r="A12" s="5">
        <v>11</v>
      </c>
      <c r="B12" s="5" t="s">
        <v>86</v>
      </c>
      <c r="C12" s="5" t="s">
        <v>77</v>
      </c>
      <c r="D12" s="6" t="s">
        <v>87</v>
      </c>
      <c r="E12" s="5" t="s">
        <v>88</v>
      </c>
      <c r="F12" s="5">
        <v>2</v>
      </c>
      <c r="G12" s="5">
        <v>0</v>
      </c>
      <c r="H12" s="5">
        <v>0</v>
      </c>
      <c r="I12" s="5">
        <v>2</v>
      </c>
      <c r="J12" s="5">
        <f>SUM(G12:I12)</f>
        <v>2</v>
      </c>
      <c r="K12" s="5">
        <v>15</v>
      </c>
      <c r="L12" s="5">
        <f>ROUNDUP(F12*K12/1000,0)</f>
        <v>0</v>
      </c>
      <c r="M12" s="5">
        <f>MAX(0,L12-J12)</f>
        <v>0</v>
      </c>
      <c r="N12" s="6" t="s">
        <v>56</v>
      </c>
    </row>
    <row r="13" spans="1:14" x14ac:dyDescent="0.25">
      <c r="A13" s="5">
        <v>12</v>
      </c>
      <c r="B13" s="5" t="s">
        <v>89</v>
      </c>
      <c r="C13" s="5" t="s">
        <v>90</v>
      </c>
      <c r="D13" s="6" t="s">
        <v>91</v>
      </c>
      <c r="E13" s="5" t="s">
        <v>92</v>
      </c>
      <c r="F13" s="5">
        <v>5</v>
      </c>
      <c r="G13" s="5">
        <v>3</v>
      </c>
      <c r="H13" s="5">
        <v>0</v>
      </c>
      <c r="I13" s="5">
        <v>0</v>
      </c>
      <c r="J13" s="5">
        <f>SUM(G13:I13)</f>
        <v>3</v>
      </c>
      <c r="K13" s="5">
        <v>15</v>
      </c>
      <c r="L13" s="5">
        <f>ROUNDUP(F13*K13/1000,0)</f>
        <v>0</v>
      </c>
      <c r="M13" s="5">
        <f>MAX(0,L13-J13)</f>
        <v>0</v>
      </c>
      <c r="N13" s="6" t="s">
        <v>56</v>
      </c>
    </row>
    <row r="14" spans="1:14" x14ac:dyDescent="0.25">
      <c r="A14" s="5">
        <v>13</v>
      </c>
      <c r="B14" s="5" t="s">
        <v>93</v>
      </c>
      <c r="C14" s="5" t="s">
        <v>90</v>
      </c>
      <c r="D14" s="6" t="s">
        <v>94</v>
      </c>
      <c r="E14" s="5" t="s">
        <v>95</v>
      </c>
      <c r="F14" s="5">
        <v>16</v>
      </c>
      <c r="G14" s="5">
        <v>3</v>
      </c>
      <c r="H14" s="5">
        <v>0</v>
      </c>
      <c r="I14" s="5">
        <v>0</v>
      </c>
      <c r="J14" s="5">
        <f>SUM(G14:I14)</f>
        <v>3</v>
      </c>
      <c r="K14" s="5">
        <v>15</v>
      </c>
      <c r="L14" s="5">
        <f>ROUNDUP(F14*K14/1000,0)</f>
        <v>0</v>
      </c>
      <c r="M14" s="5">
        <f>MAX(0,L14-J14)</f>
        <v>0</v>
      </c>
      <c r="N14" s="6" t="s">
        <v>56</v>
      </c>
    </row>
    <row r="15" spans="1:14" x14ac:dyDescent="0.25">
      <c r="A15" s="5">
        <v>14</v>
      </c>
      <c r="B15" s="5" t="s">
        <v>96</v>
      </c>
      <c r="C15" s="5" t="s">
        <v>90</v>
      </c>
      <c r="D15" s="6" t="s">
        <v>97</v>
      </c>
      <c r="E15" s="5" t="s">
        <v>98</v>
      </c>
      <c r="F15" s="5">
        <v>33</v>
      </c>
      <c r="G15" s="5">
        <v>3</v>
      </c>
      <c r="H15" s="5">
        <v>0</v>
      </c>
      <c r="I15" s="5">
        <v>0</v>
      </c>
      <c r="J15" s="5">
        <f>SUM(G15:I15)</f>
        <v>3</v>
      </c>
      <c r="K15" s="5">
        <v>15</v>
      </c>
      <c r="L15" s="5">
        <f>ROUNDUP(F15*K15/1000,0)</f>
        <v>0</v>
      </c>
      <c r="M15" s="5">
        <f>MAX(0,L15-J15)</f>
        <v>0</v>
      </c>
      <c r="N15" s="6" t="s">
        <v>56</v>
      </c>
    </row>
    <row r="16" spans="1:14" x14ac:dyDescent="0.25">
      <c r="A16" s="5">
        <v>15</v>
      </c>
      <c r="B16" s="5" t="s">
        <v>99</v>
      </c>
      <c r="C16" s="5" t="s">
        <v>77</v>
      </c>
      <c r="D16" s="6" t="s">
        <v>100</v>
      </c>
      <c r="E16" s="5" t="s">
        <v>101</v>
      </c>
      <c r="F16" s="5">
        <v>2</v>
      </c>
      <c r="G16" s="5">
        <v>1</v>
      </c>
      <c r="H16" s="5">
        <v>0</v>
      </c>
      <c r="I16" s="5">
        <v>0</v>
      </c>
      <c r="J16" s="5">
        <f>SUM(G16:I16)</f>
        <v>1</v>
      </c>
      <c r="K16" s="5">
        <v>15</v>
      </c>
      <c r="L16" s="5">
        <f>ROUNDUP(F16*K16/1000,0)</f>
        <v>0</v>
      </c>
      <c r="M16" s="5">
        <f>MAX(0,L16-J16)</f>
        <v>0</v>
      </c>
      <c r="N16" s="6" t="s">
        <v>56</v>
      </c>
    </row>
    <row r="17" spans="1:13" x14ac:dyDescent="0.25">
      <c r="A17" t="s">
        <v>102</v>
      </c>
      <c r="D17" s="7" t="s">
        <v>103</v>
      </c>
      <c r="F17" s="7">
        <f>SUM(F2:F16)</f>
      </c>
      <c r="G17" s="7">
        <f>SUM(G2:G16)</f>
      </c>
      <c r="H17" s="7">
        <f>SUM(H2:H16)</f>
      </c>
      <c r="I17" s="7">
        <f>SUM(I2:I16)</f>
      </c>
      <c r="J17" s="7">
        <f>SUM(J2:J16)</f>
      </c>
      <c r="K17" s="7">
        <f>SUM(K2:K16)</f>
      </c>
      <c r="L17" s="7">
        <f>SUM(L2:L16)</f>
      </c>
      <c r="M17" s="7">
        <f>SUM(M2:M16)</f>
      </c>
    </row>
  </sheetData>
  <hyperlinks>
    <hyperlink ref="D2" r:id="rId1" location="#'F01 getApiErrorMessage'!A1"/>
    <hyperlink ref="N2" r:id="rId2" location="#'F01 getApiErrorMessage'!A1"/>
    <hyperlink ref="D3" r:id="rId3" location="#'F02 getApiSuccessMessage'!A1"/>
    <hyperlink ref="N3" r:id="rId4" location="#'F02 getApiSuccessMessage'!A1"/>
    <hyperlink ref="D4" r:id="rId5" location="#'F03 authApi.sendOtp'!A1"/>
    <hyperlink ref="N4" r:id="rId6" location="#'F03 authApi.sendOtp'!A1"/>
    <hyperlink ref="D5" r:id="rId7" location="#'F04 authApi.verifyOtp'!A1"/>
    <hyperlink ref="N5" r:id="rId8" location="#'F04 authApi.verifyOtp'!A1"/>
    <hyperlink ref="D6" r:id="rId9" location="#'F05 authApi.registerPersonal'!A1"/>
    <hyperlink ref="N6" r:id="rId10" location="#'F05 authApi.registerPersonal'!A1"/>
    <hyperlink ref="D7" r:id="rId11" location="#'F06 authApi.registerBusiness'!A1"/>
    <hyperlink ref="N7" r:id="rId12" location="#'F06 authApi.registerBusiness'!A1"/>
    <hyperlink ref="D8" r:id="rId13" location="#'F07 authApi.googleLogin'!A1"/>
    <hyperlink ref="N8" r:id="rId14" location="#'F07 authApi.googleLogin'!A1"/>
    <hyperlink ref="D9" r:id="rId15" location="#'F08 Request interceptor (gắn to'!A1"/>
    <hyperlink ref="N9" r:id="rId16" location="#'F08 Request interceptor (gắn to'!A1"/>
    <hyperlink ref="D10" r:id="rId17" location="#'F09 Response interceptor - chuẩ'!A1"/>
    <hyperlink ref="N10" r:id="rId18" location="#'F09 Response interceptor - chuẩ'!A1"/>
    <hyperlink ref="D11" r:id="rId19" location="#'F10 Response interceptor - refr'!A1"/>
    <hyperlink ref="N11" r:id="rId20" location="#'F10 Response interceptor - refr'!A1"/>
    <hyperlink ref="D12" r:id="rId21" location="#'F11 Response interceptor - lỗi'!A1"/>
    <hyperlink ref="N12" r:id="rId22" location="#'F11 Response interceptor - lỗi'!A1"/>
    <hyperlink ref="D13" r:id="rId23" location="#'F12 MAIN_CATEGORIES'!A1"/>
    <hyperlink ref="N13" r:id="rId24" location="#'F12 MAIN_CATEGORIES'!A1"/>
    <hyperlink ref="D14" r:id="rId25" location="#'F13 GENERAL_FILTERS'!A1"/>
    <hyperlink ref="N14" r:id="rId26" location="#'F13 GENERAL_FILTERS'!A1"/>
    <hyperlink ref="D15" r:id="rId27" location="#'F14 SPECIFIC_FILTERS'!A1"/>
    <hyperlink ref="N15" r:id="rId28" location="#'F14 SPECIFIC_FILTERS'!A1"/>
    <hyperlink ref="D16" r:id="rId29" location="#'F15 apiClient (module export)'!A1"/>
    <hyperlink ref="N16" r:id="rId30" location="#'F15 apiClient (module export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4" customWidth="1"/>
    <col min="4" max="5" width="10" customWidth="1"/>
    <col min="6" max="6" width="11" customWidth="1"/>
    <col min="7" max="10" width="10" customWidth="1"/>
  </cols>
  <sheetData>
    <row r="1" spans="1:10" x14ac:dyDescent="0.25">
      <c r="A1" s="1" t="s">
        <v>38</v>
      </c>
      <c r="B1" s="1" t="s">
        <v>39</v>
      </c>
      <c r="C1" s="1" t="s">
        <v>41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104</v>
      </c>
      <c r="I1" s="1" t="s">
        <v>105</v>
      </c>
      <c r="J1" s="1" t="s">
        <v>106</v>
      </c>
    </row>
    <row r="2" spans="1:10" x14ac:dyDescent="0.25">
      <c r="A2" s="2">
        <v>1</v>
      </c>
      <c r="B2" s="2" t="s">
        <v>52</v>
      </c>
      <c r="C2" s="2" t="s">
        <v>54</v>
      </c>
      <c r="D2" s="2">
        <v>11</v>
      </c>
      <c r="E2" s="2">
        <v>3</v>
      </c>
      <c r="F2" s="2">
        <v>6</v>
      </c>
      <c r="G2" s="2">
        <v>20</v>
      </c>
      <c r="H2" s="2">
        <v>20</v>
      </c>
      <c r="I2" s="2">
        <v>0</v>
      </c>
      <c r="J2" s="2">
        <f>IF(G2=0,0,H2/G2)</f>
        <v>1</v>
      </c>
    </row>
    <row r="3" spans="1:10" x14ac:dyDescent="0.25">
      <c r="A3" s="2">
        <v>2</v>
      </c>
      <c r="B3" s="2" t="s">
        <v>57</v>
      </c>
      <c r="C3" s="2" t="s">
        <v>58</v>
      </c>
      <c r="D3" s="2">
        <v>3</v>
      </c>
      <c r="E3" s="2">
        <v>0</v>
      </c>
      <c r="F3" s="2">
        <v>2</v>
      </c>
      <c r="G3" s="2">
        <v>5</v>
      </c>
      <c r="H3" s="2">
        <v>5</v>
      </c>
      <c r="I3" s="2">
        <v>0</v>
      </c>
      <c r="J3" s="2">
        <f>IF(G3=0,0,H3/G3)</f>
        <v>1</v>
      </c>
    </row>
    <row r="4" spans="1:10" x14ac:dyDescent="0.25">
      <c r="A4" s="2">
        <v>3</v>
      </c>
      <c r="B4" s="2" t="s">
        <v>60</v>
      </c>
      <c r="C4" s="2" t="s">
        <v>62</v>
      </c>
      <c r="D4" s="2">
        <v>2</v>
      </c>
      <c r="E4" s="2">
        <v>0</v>
      </c>
      <c r="F4" s="2">
        <v>0</v>
      </c>
      <c r="G4" s="2">
        <v>2</v>
      </c>
      <c r="H4" s="2">
        <v>2</v>
      </c>
      <c r="I4" s="2">
        <v>0</v>
      </c>
      <c r="J4" s="2">
        <f>IF(G4=0,0,H4/G4)</f>
        <v>1</v>
      </c>
    </row>
    <row r="5" spans="1:10" x14ac:dyDescent="0.25">
      <c r="A5" s="2">
        <v>4</v>
      </c>
      <c r="B5" s="2" t="s">
        <v>64</v>
      </c>
      <c r="C5" s="2" t="s">
        <v>65</v>
      </c>
      <c r="D5" s="2">
        <v>1</v>
      </c>
      <c r="E5" s="2">
        <v>0</v>
      </c>
      <c r="F5" s="2">
        <v>1</v>
      </c>
      <c r="G5" s="2">
        <v>2</v>
      </c>
      <c r="H5" s="2">
        <v>2</v>
      </c>
      <c r="I5" s="2">
        <v>0</v>
      </c>
      <c r="J5" s="2">
        <f>IF(G5=0,0,H5/G5)</f>
        <v>1</v>
      </c>
    </row>
    <row r="6" spans="1:10" x14ac:dyDescent="0.25">
      <c r="A6" s="2">
        <v>5</v>
      </c>
      <c r="B6" s="2" t="s">
        <v>67</v>
      </c>
      <c r="C6" s="2" t="s">
        <v>68</v>
      </c>
      <c r="D6" s="2">
        <v>1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f>IF(G6=0,0,H6/G6)</f>
        <v>1</v>
      </c>
    </row>
    <row r="7" spans="1:10" x14ac:dyDescent="0.25">
      <c r="A7" s="2">
        <v>6</v>
      </c>
      <c r="B7" s="2" t="s">
        <v>70</v>
      </c>
      <c r="C7" s="2" t="s">
        <v>71</v>
      </c>
      <c r="D7" s="2">
        <v>2</v>
      </c>
      <c r="E7" s="2">
        <v>0</v>
      </c>
      <c r="F7" s="2">
        <v>0</v>
      </c>
      <c r="G7" s="2">
        <v>2</v>
      </c>
      <c r="H7" s="2">
        <v>2</v>
      </c>
      <c r="I7" s="2">
        <v>0</v>
      </c>
      <c r="J7" s="2">
        <f>IF(G7=0,0,H7/G7)</f>
        <v>1</v>
      </c>
    </row>
    <row r="8" spans="1:10" x14ac:dyDescent="0.25">
      <c r="A8" s="2">
        <v>7</v>
      </c>
      <c r="B8" s="2" t="s">
        <v>73</v>
      </c>
      <c r="C8" s="2" t="s">
        <v>74</v>
      </c>
      <c r="D8" s="2">
        <v>1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f>IF(G8=0,0,H8/G8)</f>
        <v>1</v>
      </c>
    </row>
    <row r="9" spans="1:10" x14ac:dyDescent="0.25">
      <c r="A9" s="2">
        <v>8</v>
      </c>
      <c r="B9" s="2" t="s">
        <v>76</v>
      </c>
      <c r="C9" s="2" t="s">
        <v>78</v>
      </c>
      <c r="D9" s="2">
        <v>2</v>
      </c>
      <c r="E9" s="2">
        <v>0</v>
      </c>
      <c r="F9" s="2">
        <v>1</v>
      </c>
      <c r="G9" s="2">
        <v>3</v>
      </c>
      <c r="H9" s="2">
        <v>3</v>
      </c>
      <c r="I9" s="2">
        <v>0</v>
      </c>
      <c r="J9" s="2">
        <f>IF(G9=0,0,H9/G9)</f>
        <v>1</v>
      </c>
    </row>
    <row r="10" spans="1:10" x14ac:dyDescent="0.25">
      <c r="A10" s="2">
        <v>9</v>
      </c>
      <c r="B10" s="2" t="s">
        <v>80</v>
      </c>
      <c r="C10" s="2" t="s">
        <v>81</v>
      </c>
      <c r="D10" s="2">
        <v>1</v>
      </c>
      <c r="E10" s="2">
        <v>1</v>
      </c>
      <c r="F10" s="2">
        <v>1</v>
      </c>
      <c r="G10" s="2">
        <v>3</v>
      </c>
      <c r="H10" s="2">
        <v>3</v>
      </c>
      <c r="I10" s="2">
        <v>0</v>
      </c>
      <c r="J10" s="2">
        <f>IF(G10=0,0,H10/G10)</f>
        <v>1</v>
      </c>
    </row>
    <row r="11" spans="1:10" x14ac:dyDescent="0.25">
      <c r="A11" s="2">
        <v>10</v>
      </c>
      <c r="B11" s="2" t="s">
        <v>83</v>
      </c>
      <c r="C11" s="2" t="s">
        <v>84</v>
      </c>
      <c r="D11" s="2">
        <v>2</v>
      </c>
      <c r="E11" s="2">
        <v>2</v>
      </c>
      <c r="F11" s="2">
        <v>2</v>
      </c>
      <c r="G11" s="2">
        <v>6</v>
      </c>
      <c r="H11" s="2">
        <v>6</v>
      </c>
      <c r="I11" s="2">
        <v>0</v>
      </c>
      <c r="J11" s="2">
        <f>IF(G11=0,0,H11/G11)</f>
        <v>1</v>
      </c>
    </row>
    <row r="12" spans="1:10" x14ac:dyDescent="0.25">
      <c r="A12" s="2">
        <v>11</v>
      </c>
      <c r="B12" s="2" t="s">
        <v>86</v>
      </c>
      <c r="C12" s="2" t="s">
        <v>87</v>
      </c>
      <c r="D12" s="2">
        <v>0</v>
      </c>
      <c r="E12" s="2">
        <v>0</v>
      </c>
      <c r="F12" s="2">
        <v>2</v>
      </c>
      <c r="G12" s="2">
        <v>2</v>
      </c>
      <c r="H12" s="2">
        <v>2</v>
      </c>
      <c r="I12" s="2">
        <v>0</v>
      </c>
      <c r="J12" s="2">
        <f>IF(G12=0,0,H12/G12)</f>
        <v>1</v>
      </c>
    </row>
    <row r="13" spans="1:10" x14ac:dyDescent="0.25">
      <c r="A13" s="2">
        <v>12</v>
      </c>
      <c r="B13" s="2" t="s">
        <v>89</v>
      </c>
      <c r="C13" s="2" t="s">
        <v>91</v>
      </c>
      <c r="D13" s="2">
        <v>3</v>
      </c>
      <c r="E13" s="2">
        <v>0</v>
      </c>
      <c r="F13" s="2">
        <v>0</v>
      </c>
      <c r="G13" s="2">
        <v>3</v>
      </c>
      <c r="H13" s="2">
        <v>3</v>
      </c>
      <c r="I13" s="2">
        <v>0</v>
      </c>
      <c r="J13" s="2">
        <f>IF(G13=0,0,H13/G13)</f>
        <v>1</v>
      </c>
    </row>
    <row r="14" spans="1:10" x14ac:dyDescent="0.25">
      <c r="A14" s="2">
        <v>13</v>
      </c>
      <c r="B14" s="2" t="s">
        <v>93</v>
      </c>
      <c r="C14" s="2" t="s">
        <v>94</v>
      </c>
      <c r="D14" s="2">
        <v>3</v>
      </c>
      <c r="E14" s="2">
        <v>0</v>
      </c>
      <c r="F14" s="2">
        <v>0</v>
      </c>
      <c r="G14" s="2">
        <v>3</v>
      </c>
      <c r="H14" s="2">
        <v>3</v>
      </c>
      <c r="I14" s="2">
        <v>0</v>
      </c>
      <c r="J14" s="2">
        <f>IF(G14=0,0,H14/G14)</f>
        <v>1</v>
      </c>
    </row>
    <row r="15" spans="1:10" x14ac:dyDescent="0.25">
      <c r="A15" s="2">
        <v>14</v>
      </c>
      <c r="B15" s="2" t="s">
        <v>96</v>
      </c>
      <c r="C15" s="2" t="s">
        <v>97</v>
      </c>
      <c r="D15" s="2">
        <v>3</v>
      </c>
      <c r="E15" s="2">
        <v>0</v>
      </c>
      <c r="F15" s="2">
        <v>0</v>
      </c>
      <c r="G15" s="2">
        <v>3</v>
      </c>
      <c r="H15" s="2">
        <v>3</v>
      </c>
      <c r="I15" s="2">
        <v>0</v>
      </c>
      <c r="J15" s="2">
        <f>IF(G15=0,0,H15/G15)</f>
        <v>1</v>
      </c>
    </row>
    <row r="16" spans="1:10" x14ac:dyDescent="0.25">
      <c r="A16" s="2">
        <v>15</v>
      </c>
      <c r="B16" s="2" t="s">
        <v>99</v>
      </c>
      <c r="C16" s="2" t="s">
        <v>100</v>
      </c>
      <c r="D16" s="2">
        <v>1</v>
      </c>
      <c r="E16" s="2">
        <v>0</v>
      </c>
      <c r="F16" s="2">
        <v>0</v>
      </c>
      <c r="G16" s="2">
        <v>1</v>
      </c>
      <c r="H16" s="2">
        <v>1</v>
      </c>
      <c r="I16" s="2">
        <v>0</v>
      </c>
      <c r="J16" s="2">
        <f>IF(G16=0,0,H16/G16)</f>
        <v>1</v>
      </c>
    </row>
    <row r="17" spans="2:10" x14ac:dyDescent="0.25">
      <c r="B17" t="s">
        <v>102</v>
      </c>
      <c r="C17" s="7" t="s">
        <v>107</v>
      </c>
      <c r="D17" s="7">
        <f>SUM(D2:D16)</f>
      </c>
      <c r="E17" s="7">
        <f>SUM(E2:E16)</f>
      </c>
      <c r="F17" s="7">
        <f>SUM(F2:F16)</f>
      </c>
      <c r="G17" s="7">
        <f>SUM(G2:G16)</f>
      </c>
      <c r="H17" s="7">
        <f>SUM(H2:H16)</f>
      </c>
      <c r="I17" s="7">
        <f>SUM(I2:I16)</f>
      </c>
      <c r="J17" s="7">
        <f>IF(G17=0,0,H17/G17)</f>
      </c>
    </row>
    <row r="19" spans="3:7" x14ac:dyDescent="0.25">
      <c r="C19" s="7" t="s">
        <v>108</v>
      </c>
      <c r="G19" s="2">
        <f>=COUNTA(B2:B16)</f>
        <v>15</v>
      </c>
    </row>
    <row r="20" spans="3:7" x14ac:dyDescent="0.25">
      <c r="C20" s="7" t="s">
        <v>109</v>
      </c>
      <c r="G20" s="2">
        <f>=SUM(G2:G16)</f>
        <v>57</v>
      </c>
    </row>
    <row r="21" spans="3:7" x14ac:dyDescent="0.25">
      <c r="C21" s="7" t="s">
        <v>110</v>
      </c>
      <c r="G21" s="2">
        <f>=SUM(FunctionList!L2:L16)</f>
        <v>3</v>
      </c>
    </row>
    <row r="22" spans="3:7" x14ac:dyDescent="0.25">
      <c r="C22" s="7" t="s">
        <v>111</v>
      </c>
      <c r="G22" s="2">
        <f>=IF(G21=0,0,G20/G21)</f>
        <v>19</v>
      </c>
    </row>
    <row r="23" spans="3:7" x14ac:dyDescent="0.25">
      <c r="C23" s="8" t="s">
        <v>112</v>
      </c>
      <c r="G23" s="2">
        <f>=SUM(H2:H16)</f>
        <v>57</v>
      </c>
    </row>
    <row r="24" spans="3:7" x14ac:dyDescent="0.25">
      <c r="C24" s="8" t="s">
        <v>113</v>
      </c>
      <c r="G24" s="2">
        <f>=SUM(I2:I16)</f>
        <v>0</v>
      </c>
    </row>
    <row r="25" spans="3:7" x14ac:dyDescent="0.25">
      <c r="C25" s="8" t="s">
        <v>114</v>
      </c>
      <c r="G25" s="2">
        <f>=IF(G20=0,0,H23/G20)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115</v>
      </c>
      <c r="B1" s="3"/>
      <c r="C1" s="3"/>
      <c r="D1" s="3"/>
      <c r="E1" s="3"/>
    </row>
    <row r="2" spans="1:4" x14ac:dyDescent="0.25">
      <c r="A2" s="9" t="s">
        <v>39</v>
      </c>
      <c r="B2" s="2" t="s">
        <v>52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54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53</v>
      </c>
      <c r="C4" s="2"/>
      <c r="D4" s="2"/>
    </row>
    <row r="5" spans="1:4" x14ac:dyDescent="0.25">
      <c r="A5" s="10" t="s">
        <v>117</v>
      </c>
      <c r="B5" s="2" t="s">
        <v>55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125</v>
      </c>
      <c r="C7" s="2" t="s">
        <v>126</v>
      </c>
      <c r="D7" s="2" t="s">
        <v>127</v>
      </c>
      <c r="E7" s="2" t="s">
        <v>128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131</v>
      </c>
      <c r="C8" s="2" t="s">
        <v>126</v>
      </c>
      <c r="D8" s="2" t="s">
        <v>132</v>
      </c>
      <c r="E8" s="2" t="s">
        <v>128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133</v>
      </c>
      <c r="C9" s="2" t="s">
        <v>134</v>
      </c>
      <c r="D9" s="2" t="s">
        <v>135</v>
      </c>
      <c r="E9" s="2" t="s">
        <v>128</v>
      </c>
      <c r="F9" s="2" t="s">
        <v>129</v>
      </c>
      <c r="G9" s="2" t="s">
        <v>130</v>
      </c>
    </row>
    <row r="10" spans="1:7" x14ac:dyDescent="0.25">
      <c r="A10" s="2">
        <v>4</v>
      </c>
      <c r="B10" s="2" t="s">
        <v>136</v>
      </c>
      <c r="C10" s="2" t="s">
        <v>126</v>
      </c>
      <c r="D10" s="2" t="s">
        <v>137</v>
      </c>
      <c r="E10" s="2" t="s">
        <v>138</v>
      </c>
      <c r="F10" s="2" t="s">
        <v>129</v>
      </c>
      <c r="G10" s="2" t="s">
        <v>130</v>
      </c>
    </row>
    <row r="11" spans="1:7" x14ac:dyDescent="0.25">
      <c r="A11" s="2">
        <v>5</v>
      </c>
      <c r="B11" s="2" t="s">
        <v>139</v>
      </c>
      <c r="C11" s="2" t="s">
        <v>126</v>
      </c>
      <c r="D11" s="2" t="s">
        <v>140</v>
      </c>
      <c r="E11" s="2" t="s">
        <v>141</v>
      </c>
      <c r="F11" s="2" t="s">
        <v>129</v>
      </c>
      <c r="G11" s="2" t="s">
        <v>130</v>
      </c>
    </row>
    <row r="12" spans="1:7" x14ac:dyDescent="0.25">
      <c r="A12" s="2">
        <v>6</v>
      </c>
      <c r="B12" s="2" t="s">
        <v>142</v>
      </c>
      <c r="C12" s="2" t="s">
        <v>126</v>
      </c>
      <c r="D12" s="2" t="s">
        <v>143</v>
      </c>
      <c r="E12" s="2" t="s">
        <v>144</v>
      </c>
      <c r="F12" s="2" t="s">
        <v>129</v>
      </c>
      <c r="G12" s="2" t="s">
        <v>130</v>
      </c>
    </row>
    <row r="13" spans="1:7" x14ac:dyDescent="0.25">
      <c r="A13" s="2">
        <v>7</v>
      </c>
      <c r="B13" s="2" t="s">
        <v>145</v>
      </c>
      <c r="C13" s="2" t="s">
        <v>126</v>
      </c>
      <c r="D13" s="2" t="s">
        <v>146</v>
      </c>
      <c r="E13" s="2" t="s">
        <v>147</v>
      </c>
      <c r="F13" s="2" t="s">
        <v>129</v>
      </c>
      <c r="G13" s="2" t="s">
        <v>130</v>
      </c>
    </row>
    <row r="14" spans="1:7" x14ac:dyDescent="0.25">
      <c r="A14" s="2">
        <v>8</v>
      </c>
      <c r="B14" s="2" t="s">
        <v>148</v>
      </c>
      <c r="C14" s="2" t="s">
        <v>126</v>
      </c>
      <c r="D14" s="2" t="s">
        <v>149</v>
      </c>
      <c r="E14" s="2" t="s">
        <v>150</v>
      </c>
      <c r="F14" s="2" t="s">
        <v>129</v>
      </c>
      <c r="G14" s="2" t="s">
        <v>130</v>
      </c>
    </row>
    <row r="15" spans="1:7" x14ac:dyDescent="0.25">
      <c r="A15" s="2">
        <v>9</v>
      </c>
      <c r="B15" s="2" t="s">
        <v>151</v>
      </c>
      <c r="C15" s="2" t="s">
        <v>126</v>
      </c>
      <c r="D15" s="2" t="s">
        <v>152</v>
      </c>
      <c r="E15" s="2" t="s">
        <v>153</v>
      </c>
      <c r="F15" s="2" t="s">
        <v>129</v>
      </c>
      <c r="G15" s="2" t="s">
        <v>130</v>
      </c>
    </row>
    <row r="16" spans="1:7" x14ac:dyDescent="0.25">
      <c r="A16" s="2">
        <v>10</v>
      </c>
      <c r="B16" s="2" t="s">
        <v>154</v>
      </c>
      <c r="C16" s="2" t="s">
        <v>134</v>
      </c>
      <c r="D16" s="2" t="s">
        <v>155</v>
      </c>
      <c r="E16" s="2" t="s">
        <v>156</v>
      </c>
      <c r="F16" s="2" t="s">
        <v>129</v>
      </c>
      <c r="G16" s="2" t="s">
        <v>130</v>
      </c>
    </row>
    <row r="17" spans="1:7" x14ac:dyDescent="0.25">
      <c r="A17" s="2">
        <v>11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129</v>
      </c>
      <c r="G17" s="2" t="s">
        <v>130</v>
      </c>
    </row>
    <row r="18" spans="1:7" x14ac:dyDescent="0.25">
      <c r="A18" s="2">
        <v>12</v>
      </c>
      <c r="B18" s="2" t="s">
        <v>161</v>
      </c>
      <c r="C18" s="2" t="s">
        <v>158</v>
      </c>
      <c r="D18" s="2" t="s">
        <v>162</v>
      </c>
      <c r="E18" s="2" t="s">
        <v>160</v>
      </c>
      <c r="F18" s="2" t="s">
        <v>129</v>
      </c>
      <c r="G18" s="2" t="s">
        <v>130</v>
      </c>
    </row>
    <row r="19" spans="1:7" x14ac:dyDescent="0.25">
      <c r="A19" s="2">
        <v>13</v>
      </c>
      <c r="B19" s="2" t="s">
        <v>163</v>
      </c>
      <c r="C19" s="2" t="s">
        <v>158</v>
      </c>
      <c r="D19" s="2" t="s">
        <v>164</v>
      </c>
      <c r="E19" s="2" t="s">
        <v>160</v>
      </c>
      <c r="F19" s="2" t="s">
        <v>129</v>
      </c>
      <c r="G19" s="2" t="s">
        <v>130</v>
      </c>
    </row>
    <row r="20" spans="1:7" x14ac:dyDescent="0.25">
      <c r="A20" s="2">
        <v>14</v>
      </c>
      <c r="B20" s="2" t="s">
        <v>165</v>
      </c>
      <c r="C20" s="2" t="s">
        <v>158</v>
      </c>
      <c r="D20" s="2" t="s">
        <v>166</v>
      </c>
      <c r="E20" s="2" t="s">
        <v>160</v>
      </c>
      <c r="F20" s="2" t="s">
        <v>129</v>
      </c>
      <c r="G20" s="2" t="s">
        <v>130</v>
      </c>
    </row>
    <row r="21" spans="1:7" x14ac:dyDescent="0.25">
      <c r="A21" s="2">
        <v>15</v>
      </c>
      <c r="B21" s="2" t="s">
        <v>167</v>
      </c>
      <c r="C21" s="2" t="s">
        <v>126</v>
      </c>
      <c r="D21" s="2" t="s">
        <v>168</v>
      </c>
      <c r="E21" s="2" t="s">
        <v>128</v>
      </c>
      <c r="F21" s="2" t="s">
        <v>129</v>
      </c>
      <c r="G21" s="2" t="s">
        <v>130</v>
      </c>
    </row>
    <row r="22" spans="1:7" x14ac:dyDescent="0.25">
      <c r="A22" s="2">
        <v>16</v>
      </c>
      <c r="B22" s="2" t="s">
        <v>169</v>
      </c>
      <c r="C22" s="2" t="s">
        <v>126</v>
      </c>
      <c r="D22" s="2" t="s">
        <v>170</v>
      </c>
      <c r="E22" s="2" t="s">
        <v>171</v>
      </c>
      <c r="F22" s="2" t="s">
        <v>129</v>
      </c>
      <c r="G22" s="2" t="s">
        <v>130</v>
      </c>
    </row>
    <row r="23" spans="1:7" x14ac:dyDescent="0.25">
      <c r="A23" s="2">
        <v>17</v>
      </c>
      <c r="B23" s="2" t="s">
        <v>172</v>
      </c>
      <c r="C23" s="2" t="s">
        <v>126</v>
      </c>
      <c r="D23" s="2" t="s">
        <v>173</v>
      </c>
      <c r="E23" s="2" t="s">
        <v>174</v>
      </c>
      <c r="F23" s="2" t="s">
        <v>129</v>
      </c>
      <c r="G23" s="2" t="s">
        <v>130</v>
      </c>
    </row>
    <row r="24" spans="1:7" x14ac:dyDescent="0.25">
      <c r="A24" s="2">
        <v>18</v>
      </c>
      <c r="B24" s="2" t="s">
        <v>175</v>
      </c>
      <c r="C24" s="2" t="s">
        <v>158</v>
      </c>
      <c r="D24" s="2" t="s">
        <v>176</v>
      </c>
      <c r="E24" s="2" t="s">
        <v>160</v>
      </c>
      <c r="F24" s="2" t="s">
        <v>129</v>
      </c>
      <c r="G24" s="2" t="s">
        <v>130</v>
      </c>
    </row>
    <row r="25" spans="1:7" x14ac:dyDescent="0.25">
      <c r="A25" s="2">
        <v>19</v>
      </c>
      <c r="B25" s="2" t="s">
        <v>177</v>
      </c>
      <c r="C25" s="2" t="s">
        <v>158</v>
      </c>
      <c r="D25" s="2" t="s">
        <v>178</v>
      </c>
      <c r="E25" s="2" t="s">
        <v>160</v>
      </c>
      <c r="F25" s="2" t="s">
        <v>129</v>
      </c>
      <c r="G25" s="2" t="s">
        <v>130</v>
      </c>
    </row>
    <row r="26" spans="1:7" x14ac:dyDescent="0.25">
      <c r="A26" s="2">
        <v>20</v>
      </c>
      <c r="B26" s="2" t="s">
        <v>179</v>
      </c>
      <c r="C26" s="2" t="s">
        <v>134</v>
      </c>
      <c r="D26" s="2" t="s">
        <v>180</v>
      </c>
      <c r="E26" s="2" t="s">
        <v>181</v>
      </c>
      <c r="F26" s="2" t="s">
        <v>129</v>
      </c>
      <c r="G26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182</v>
      </c>
      <c r="B1" s="3"/>
      <c r="C1" s="3"/>
      <c r="D1" s="3"/>
      <c r="E1" s="3"/>
    </row>
    <row r="2" spans="1:4" x14ac:dyDescent="0.25">
      <c r="A2" s="9" t="s">
        <v>39</v>
      </c>
      <c r="B2" s="2" t="s">
        <v>57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58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53</v>
      </c>
      <c r="C4" s="2"/>
      <c r="D4" s="2"/>
    </row>
    <row r="5" spans="1:4" x14ac:dyDescent="0.25">
      <c r="A5" s="10" t="s">
        <v>117</v>
      </c>
      <c r="B5" s="2" t="s">
        <v>59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183</v>
      </c>
      <c r="C7" s="2" t="s">
        <v>126</v>
      </c>
      <c r="D7" s="2" t="s">
        <v>184</v>
      </c>
      <c r="E7" s="2" t="s">
        <v>185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186</v>
      </c>
      <c r="C8" s="2" t="s">
        <v>126</v>
      </c>
      <c r="D8" s="2" t="s">
        <v>187</v>
      </c>
      <c r="E8" s="2" t="s">
        <v>188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189</v>
      </c>
      <c r="C9" s="2" t="s">
        <v>126</v>
      </c>
      <c r="D9" s="2" t="s">
        <v>190</v>
      </c>
      <c r="E9" s="2" t="s">
        <v>191</v>
      </c>
      <c r="F9" s="2" t="s">
        <v>129</v>
      </c>
      <c r="G9" s="2" t="s">
        <v>130</v>
      </c>
    </row>
    <row r="10" spans="1:7" x14ac:dyDescent="0.25">
      <c r="A10" s="2">
        <v>4</v>
      </c>
      <c r="B10" s="2" t="s">
        <v>192</v>
      </c>
      <c r="C10" s="2" t="s">
        <v>158</v>
      </c>
      <c r="D10" s="2" t="s">
        <v>193</v>
      </c>
      <c r="E10" s="2" t="s">
        <v>160</v>
      </c>
      <c r="F10" s="2" t="s">
        <v>129</v>
      </c>
      <c r="G10" s="2" t="s">
        <v>130</v>
      </c>
    </row>
    <row r="11" spans="1:7" x14ac:dyDescent="0.25">
      <c r="A11" s="2">
        <v>5</v>
      </c>
      <c r="B11" s="2" t="s">
        <v>194</v>
      </c>
      <c r="C11" s="2" t="s">
        <v>158</v>
      </c>
      <c r="D11" s="2" t="s">
        <v>195</v>
      </c>
      <c r="E11" s="2" t="s">
        <v>160</v>
      </c>
      <c r="F11" s="2" t="s">
        <v>129</v>
      </c>
      <c r="G11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196</v>
      </c>
      <c r="B1" s="3"/>
      <c r="C1" s="3"/>
      <c r="D1" s="3"/>
      <c r="E1" s="3"/>
    </row>
    <row r="2" spans="1:4" x14ac:dyDescent="0.25">
      <c r="A2" s="9" t="s">
        <v>39</v>
      </c>
      <c r="B2" s="2" t="s">
        <v>60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62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61</v>
      </c>
      <c r="C4" s="2"/>
      <c r="D4" s="2"/>
    </row>
    <row r="5" spans="1:4" x14ac:dyDescent="0.25">
      <c r="A5" s="10" t="s">
        <v>117</v>
      </c>
      <c r="B5" s="2" t="s">
        <v>63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197</v>
      </c>
      <c r="C7" s="2" t="s">
        <v>126</v>
      </c>
      <c r="D7" s="2" t="s">
        <v>198</v>
      </c>
      <c r="E7" s="2" t="s">
        <v>199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200</v>
      </c>
      <c r="C8" s="2" t="s">
        <v>126</v>
      </c>
      <c r="D8" s="2" t="s">
        <v>201</v>
      </c>
      <c r="E8" s="2" t="s">
        <v>202</v>
      </c>
      <c r="F8" s="2" t="s">
        <v>129</v>
      </c>
      <c r="G8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203</v>
      </c>
      <c r="B1" s="3"/>
      <c r="C1" s="3"/>
      <c r="D1" s="3"/>
      <c r="E1" s="3"/>
    </row>
    <row r="2" spans="1:4" x14ac:dyDescent="0.25">
      <c r="A2" s="9" t="s">
        <v>39</v>
      </c>
      <c r="B2" s="2" t="s">
        <v>64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65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61</v>
      </c>
      <c r="C4" s="2"/>
      <c r="D4" s="2"/>
    </row>
    <row r="5" spans="1:4" x14ac:dyDescent="0.25">
      <c r="A5" s="10" t="s">
        <v>117</v>
      </c>
      <c r="B5" s="2" t="s">
        <v>66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204</v>
      </c>
      <c r="C7" s="2" t="s">
        <v>126</v>
      </c>
      <c r="D7" s="2" t="s">
        <v>205</v>
      </c>
      <c r="E7" s="2" t="s">
        <v>206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207</v>
      </c>
      <c r="C8" s="2" t="s">
        <v>158</v>
      </c>
      <c r="D8" s="2" t="s">
        <v>208</v>
      </c>
      <c r="E8" s="2" t="s">
        <v>209</v>
      </c>
      <c r="F8" s="2" t="s">
        <v>129</v>
      </c>
      <c r="G8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210</v>
      </c>
      <c r="B1" s="3"/>
      <c r="C1" s="3"/>
      <c r="D1" s="3"/>
      <c r="E1" s="3"/>
    </row>
    <row r="2" spans="1:4" x14ac:dyDescent="0.25">
      <c r="A2" s="9" t="s">
        <v>39</v>
      </c>
      <c r="B2" s="2" t="s">
        <v>67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68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61</v>
      </c>
      <c r="C4" s="2"/>
      <c r="D4" s="2"/>
    </row>
    <row r="5" spans="1:4" x14ac:dyDescent="0.25">
      <c r="A5" s="10" t="s">
        <v>117</v>
      </c>
      <c r="B5" s="2" t="s">
        <v>69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211</v>
      </c>
      <c r="C7" s="2" t="s">
        <v>126</v>
      </c>
      <c r="D7" s="2" t="s">
        <v>212</v>
      </c>
      <c r="E7" s="2" t="s">
        <v>213</v>
      </c>
      <c r="F7" s="2" t="s">
        <v>129</v>
      </c>
      <c r="G7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214</v>
      </c>
      <c r="B1" s="3"/>
      <c r="C1" s="3"/>
      <c r="D1" s="3"/>
      <c r="E1" s="3"/>
    </row>
    <row r="2" spans="1:4" x14ac:dyDescent="0.25">
      <c r="A2" s="9" t="s">
        <v>39</v>
      </c>
      <c r="B2" s="2" t="s">
        <v>70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71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61</v>
      </c>
      <c r="C4" s="2"/>
      <c r="D4" s="2"/>
    </row>
    <row r="5" spans="1:4" x14ac:dyDescent="0.25">
      <c r="A5" s="10" t="s">
        <v>117</v>
      </c>
      <c r="B5" s="2" t="s">
        <v>72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215</v>
      </c>
      <c r="C7" s="2" t="s">
        <v>126</v>
      </c>
      <c r="D7" s="2" t="s">
        <v>216</v>
      </c>
      <c r="E7" s="2" t="s">
        <v>217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218</v>
      </c>
      <c r="C8" s="2" t="s">
        <v>126</v>
      </c>
      <c r="D8" s="2" t="s">
        <v>219</v>
      </c>
      <c r="E8" s="2" t="s">
        <v>220</v>
      </c>
      <c r="F8" s="2" t="s">
        <v>129</v>
      </c>
      <c r="G8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221</v>
      </c>
      <c r="B1" s="3"/>
      <c r="C1" s="3"/>
      <c r="D1" s="3"/>
      <c r="E1" s="3"/>
    </row>
    <row r="2" spans="1:4" x14ac:dyDescent="0.25">
      <c r="A2" s="9" t="s">
        <v>39</v>
      </c>
      <c r="B2" s="2" t="s">
        <v>73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74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61</v>
      </c>
      <c r="C4" s="2"/>
      <c r="D4" s="2"/>
    </row>
    <row r="5" spans="1:4" x14ac:dyDescent="0.25">
      <c r="A5" s="10" t="s">
        <v>117</v>
      </c>
      <c r="B5" s="2" t="s">
        <v>75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222</v>
      </c>
      <c r="C7" s="2" t="s">
        <v>126</v>
      </c>
      <c r="D7" s="2" t="s">
        <v>223</v>
      </c>
      <c r="E7" s="2" t="s">
        <v>224</v>
      </c>
      <c r="F7" s="2" t="s">
        <v>129</v>
      </c>
      <c r="G7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225</v>
      </c>
      <c r="B1" s="3"/>
      <c r="C1" s="3"/>
      <c r="D1" s="3"/>
      <c r="E1" s="3"/>
    </row>
    <row r="2" spans="1:4" x14ac:dyDescent="0.25">
      <c r="A2" s="9" t="s">
        <v>39</v>
      </c>
      <c r="B2" s="2" t="s">
        <v>76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78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77</v>
      </c>
      <c r="C4" s="2"/>
      <c r="D4" s="2"/>
    </row>
    <row r="5" spans="1:4" x14ac:dyDescent="0.25">
      <c r="A5" s="10" t="s">
        <v>117</v>
      </c>
      <c r="B5" s="2" t="s">
        <v>79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226</v>
      </c>
      <c r="C7" s="2" t="s">
        <v>126</v>
      </c>
      <c r="D7" s="2" t="s">
        <v>227</v>
      </c>
      <c r="E7" s="2" t="s">
        <v>228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229</v>
      </c>
      <c r="C8" s="2" t="s">
        <v>126</v>
      </c>
      <c r="D8" s="2" t="s">
        <v>230</v>
      </c>
      <c r="E8" s="2" t="s">
        <v>231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232</v>
      </c>
      <c r="C9" s="2" t="s">
        <v>158</v>
      </c>
      <c r="D9" s="2" t="s">
        <v>233</v>
      </c>
      <c r="E9" s="2" t="s">
        <v>234</v>
      </c>
      <c r="F9" s="2" t="s">
        <v>129</v>
      </c>
      <c r="G9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235</v>
      </c>
      <c r="B1" s="3"/>
      <c r="C1" s="3"/>
      <c r="D1" s="3"/>
      <c r="E1" s="3"/>
    </row>
    <row r="2" spans="1:4" x14ac:dyDescent="0.25">
      <c r="A2" s="9" t="s">
        <v>39</v>
      </c>
      <c r="B2" s="2" t="s">
        <v>80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81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77</v>
      </c>
      <c r="C4" s="2"/>
      <c r="D4" s="2"/>
    </row>
    <row r="5" spans="1:4" x14ac:dyDescent="0.25">
      <c r="A5" s="10" t="s">
        <v>117</v>
      </c>
      <c r="B5" s="2" t="s">
        <v>82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236</v>
      </c>
      <c r="C7" s="2" t="s">
        <v>126</v>
      </c>
      <c r="D7" s="2" t="s">
        <v>237</v>
      </c>
      <c r="E7" s="2" t="s">
        <v>238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239</v>
      </c>
      <c r="C8" s="2" t="s">
        <v>134</v>
      </c>
      <c r="D8" s="2" t="s">
        <v>240</v>
      </c>
      <c r="E8" s="2" t="s">
        <v>241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242</v>
      </c>
      <c r="C9" s="2" t="s">
        <v>158</v>
      </c>
      <c r="D9" s="2" t="s">
        <v>243</v>
      </c>
      <c r="E9" s="2" t="s">
        <v>244</v>
      </c>
      <c r="F9" s="2" t="s">
        <v>129</v>
      </c>
      <c r="G9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245</v>
      </c>
      <c r="B1" s="3"/>
      <c r="C1" s="3"/>
      <c r="D1" s="3"/>
      <c r="E1" s="3"/>
    </row>
    <row r="2" spans="1:4" x14ac:dyDescent="0.25">
      <c r="A2" s="9" t="s">
        <v>39</v>
      </c>
      <c r="B2" s="2" t="s">
        <v>83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84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77</v>
      </c>
      <c r="C4" s="2"/>
      <c r="D4" s="2"/>
    </row>
    <row r="5" spans="1:4" x14ac:dyDescent="0.25">
      <c r="A5" s="10" t="s">
        <v>117</v>
      </c>
      <c r="B5" s="2" t="s">
        <v>85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246</v>
      </c>
      <c r="C7" s="2" t="s">
        <v>126</v>
      </c>
      <c r="D7" s="2" t="s">
        <v>247</v>
      </c>
      <c r="E7" s="2" t="s">
        <v>248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249</v>
      </c>
      <c r="C8" s="2" t="s">
        <v>158</v>
      </c>
      <c r="D8" s="2" t="s">
        <v>250</v>
      </c>
      <c r="E8" s="2" t="s">
        <v>251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252</v>
      </c>
      <c r="C9" s="2" t="s">
        <v>158</v>
      </c>
      <c r="D9" s="2" t="s">
        <v>253</v>
      </c>
      <c r="E9" s="2" t="s">
        <v>254</v>
      </c>
      <c r="F9" s="2" t="s">
        <v>129</v>
      </c>
      <c r="G9" s="2" t="s">
        <v>130</v>
      </c>
    </row>
    <row r="10" spans="1:7" x14ac:dyDescent="0.25">
      <c r="A10" s="2">
        <v>4</v>
      </c>
      <c r="B10" s="2" t="s">
        <v>255</v>
      </c>
      <c r="C10" s="2" t="s">
        <v>126</v>
      </c>
      <c r="D10" s="2" t="s">
        <v>256</v>
      </c>
      <c r="E10" s="2" t="s">
        <v>257</v>
      </c>
      <c r="F10" s="2" t="s">
        <v>129</v>
      </c>
      <c r="G10" s="2" t="s">
        <v>130</v>
      </c>
    </row>
    <row r="11" spans="1:7" x14ac:dyDescent="0.25">
      <c r="A11" s="2">
        <v>5</v>
      </c>
      <c r="B11" s="2" t="s">
        <v>258</v>
      </c>
      <c r="C11" s="2" t="s">
        <v>134</v>
      </c>
      <c r="D11" s="2" t="s">
        <v>259</v>
      </c>
      <c r="E11" s="2" t="s">
        <v>260</v>
      </c>
      <c r="F11" s="2" t="s">
        <v>129</v>
      </c>
      <c r="G11" s="2" t="s">
        <v>130</v>
      </c>
    </row>
    <row r="12" spans="1:7" x14ac:dyDescent="0.25">
      <c r="A12" s="2">
        <v>6</v>
      </c>
      <c r="B12" s="2" t="s">
        <v>261</v>
      </c>
      <c r="C12" s="2" t="s">
        <v>134</v>
      </c>
      <c r="D12" s="2" t="s">
        <v>262</v>
      </c>
      <c r="E12" s="2" t="s">
        <v>260</v>
      </c>
      <c r="F12" s="2" t="s">
        <v>129</v>
      </c>
      <c r="G12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263</v>
      </c>
      <c r="B1" s="3"/>
      <c r="C1" s="3"/>
      <c r="D1" s="3"/>
      <c r="E1" s="3"/>
    </row>
    <row r="2" spans="1:4" x14ac:dyDescent="0.25">
      <c r="A2" s="9" t="s">
        <v>39</v>
      </c>
      <c r="B2" s="2" t="s">
        <v>86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87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77</v>
      </c>
      <c r="C4" s="2"/>
      <c r="D4" s="2"/>
    </row>
    <row r="5" spans="1:4" x14ac:dyDescent="0.25">
      <c r="A5" s="10" t="s">
        <v>117</v>
      </c>
      <c r="B5" s="2" t="s">
        <v>88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264</v>
      </c>
      <c r="C7" s="2" t="s">
        <v>158</v>
      </c>
      <c r="D7" s="2" t="s">
        <v>265</v>
      </c>
      <c r="E7" s="2" t="s">
        <v>266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267</v>
      </c>
      <c r="C8" s="2" t="s">
        <v>158</v>
      </c>
      <c r="D8" s="2" t="s">
        <v>268</v>
      </c>
      <c r="E8" s="2" t="s">
        <v>269</v>
      </c>
      <c r="F8" s="2" t="s">
        <v>129</v>
      </c>
      <c r="G8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270</v>
      </c>
      <c r="B1" s="3"/>
      <c r="C1" s="3"/>
      <c r="D1" s="3"/>
      <c r="E1" s="3"/>
    </row>
    <row r="2" spans="1:4" x14ac:dyDescent="0.25">
      <c r="A2" s="9" t="s">
        <v>39</v>
      </c>
      <c r="B2" s="2" t="s">
        <v>89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91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90</v>
      </c>
      <c r="C4" s="2"/>
      <c r="D4" s="2"/>
    </row>
    <row r="5" spans="1:4" x14ac:dyDescent="0.25">
      <c r="A5" s="10" t="s">
        <v>117</v>
      </c>
      <c r="B5" s="2" t="s">
        <v>92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271</v>
      </c>
      <c r="C7" s="2" t="s">
        <v>126</v>
      </c>
      <c r="D7" s="2" t="s">
        <v>272</v>
      </c>
      <c r="E7" s="2" t="s">
        <v>273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274</v>
      </c>
      <c r="C8" s="2" t="s">
        <v>126</v>
      </c>
      <c r="D8" s="2" t="s">
        <v>275</v>
      </c>
      <c r="E8" s="2" t="s">
        <v>276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277</v>
      </c>
      <c r="C9" s="2" t="s">
        <v>126</v>
      </c>
      <c r="D9" s="2" t="s">
        <v>278</v>
      </c>
      <c r="E9" s="2" t="s">
        <v>279</v>
      </c>
      <c r="F9" s="2" t="s">
        <v>129</v>
      </c>
      <c r="G9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280</v>
      </c>
      <c r="B1" s="3"/>
      <c r="C1" s="3"/>
      <c r="D1" s="3"/>
      <c r="E1" s="3"/>
    </row>
    <row r="2" spans="1:4" x14ac:dyDescent="0.25">
      <c r="A2" s="9" t="s">
        <v>39</v>
      </c>
      <c r="B2" s="2" t="s">
        <v>93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94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90</v>
      </c>
      <c r="C4" s="2"/>
      <c r="D4" s="2"/>
    </row>
    <row r="5" spans="1:4" x14ac:dyDescent="0.25">
      <c r="A5" s="10" t="s">
        <v>117</v>
      </c>
      <c r="B5" s="2" t="s">
        <v>95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281</v>
      </c>
      <c r="C7" s="2" t="s">
        <v>126</v>
      </c>
      <c r="D7" s="2" t="s">
        <v>282</v>
      </c>
      <c r="E7" s="2" t="s">
        <v>283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284</v>
      </c>
      <c r="C8" s="2" t="s">
        <v>126</v>
      </c>
      <c r="D8" s="2" t="s">
        <v>285</v>
      </c>
      <c r="E8" s="2" t="s">
        <v>286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287</v>
      </c>
      <c r="C9" s="2" t="s">
        <v>126</v>
      </c>
      <c r="D9" s="2" t="s">
        <v>288</v>
      </c>
      <c r="E9" s="2" t="s">
        <v>289</v>
      </c>
      <c r="F9" s="2" t="s">
        <v>129</v>
      </c>
      <c r="G9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290</v>
      </c>
      <c r="B1" s="3"/>
      <c r="C1" s="3"/>
      <c r="D1" s="3"/>
      <c r="E1" s="3"/>
    </row>
    <row r="2" spans="1:4" x14ac:dyDescent="0.25">
      <c r="A2" s="9" t="s">
        <v>39</v>
      </c>
      <c r="B2" s="2" t="s">
        <v>96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97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90</v>
      </c>
      <c r="C4" s="2"/>
      <c r="D4" s="2"/>
    </row>
    <row r="5" spans="1:4" x14ac:dyDescent="0.25">
      <c r="A5" s="10" t="s">
        <v>117</v>
      </c>
      <c r="B5" s="2" t="s">
        <v>98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291</v>
      </c>
      <c r="C7" s="2" t="s">
        <v>126</v>
      </c>
      <c r="D7" s="2" t="s">
        <v>292</v>
      </c>
      <c r="E7" s="2" t="s">
        <v>293</v>
      </c>
      <c r="F7" s="2" t="s">
        <v>129</v>
      </c>
      <c r="G7" s="2" t="s">
        <v>130</v>
      </c>
    </row>
    <row r="8" spans="1:7" x14ac:dyDescent="0.25">
      <c r="A8" s="2">
        <v>2</v>
      </c>
      <c r="B8" s="2" t="s">
        <v>294</v>
      </c>
      <c r="C8" s="2" t="s">
        <v>126</v>
      </c>
      <c r="D8" s="2" t="s">
        <v>295</v>
      </c>
      <c r="E8" s="2" t="s">
        <v>296</v>
      </c>
      <c r="F8" s="2" t="s">
        <v>129</v>
      </c>
      <c r="G8" s="2" t="s">
        <v>130</v>
      </c>
    </row>
    <row r="9" spans="1:7" x14ac:dyDescent="0.25">
      <c r="A9" s="2">
        <v>3</v>
      </c>
      <c r="B9" s="2" t="s">
        <v>297</v>
      </c>
      <c r="C9" s="2" t="s">
        <v>126</v>
      </c>
      <c r="D9" s="2" t="s">
        <v>298</v>
      </c>
      <c r="E9" s="2" t="s">
        <v>299</v>
      </c>
      <c r="F9" s="2" t="s">
        <v>129</v>
      </c>
      <c r="G9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300</v>
      </c>
      <c r="B1" s="3"/>
      <c r="C1" s="3"/>
      <c r="D1" s="3"/>
      <c r="E1" s="3"/>
    </row>
    <row r="2" spans="1:4" x14ac:dyDescent="0.25">
      <c r="A2" s="9" t="s">
        <v>39</v>
      </c>
      <c r="B2" s="2" t="s">
        <v>99</v>
      </c>
      <c r="C2" s="9" t="s">
        <v>19</v>
      </c>
      <c r="D2" s="2" t="s">
        <v>20</v>
      </c>
    </row>
    <row r="3" spans="1:4" x14ac:dyDescent="0.25">
      <c r="A3" s="9" t="s">
        <v>116</v>
      </c>
      <c r="B3" s="2" t="s">
        <v>100</v>
      </c>
      <c r="C3" s="9" t="s">
        <v>21</v>
      </c>
      <c r="D3" s="2" t="s">
        <v>20</v>
      </c>
    </row>
    <row r="4" spans="1:4" x14ac:dyDescent="0.25">
      <c r="A4" s="9" t="s">
        <v>40</v>
      </c>
      <c r="B4" s="2" t="s">
        <v>77</v>
      </c>
      <c r="C4" s="2"/>
      <c r="D4" s="2"/>
    </row>
    <row r="5" spans="1:4" x14ac:dyDescent="0.25">
      <c r="A5" s="10" t="s">
        <v>117</v>
      </c>
      <c r="B5" s="2" t="s">
        <v>101</v>
      </c>
      <c r="C5" s="9" t="s">
        <v>0</v>
      </c>
      <c r="D5" s="2" t="s">
        <v>6</v>
      </c>
    </row>
    <row r="6" ht="26" customHeight="1" spans="1:7" x14ac:dyDescent="0.25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</row>
    <row r="7" spans="1:7" x14ac:dyDescent="0.25">
      <c r="A7" s="2">
        <v>1</v>
      </c>
      <c r="B7" s="2" t="s">
        <v>301</v>
      </c>
      <c r="C7" s="2" t="s">
        <v>126</v>
      </c>
      <c r="D7" s="2" t="s">
        <v>302</v>
      </c>
      <c r="E7" s="2" t="s">
        <v>303</v>
      </c>
      <c r="F7" s="2" t="s">
        <v>129</v>
      </c>
      <c r="G7" s="2" t="s">
        <v>130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Record of Change</vt:lpstr>
      <vt:lpstr>Overview</vt:lpstr>
      <vt:lpstr>FunctionList</vt:lpstr>
      <vt:lpstr>Test Report</vt:lpstr>
      <vt:lpstr>F01 getApiErrorMessage</vt:lpstr>
      <vt:lpstr>F02 getApiSuccessMessage</vt:lpstr>
      <vt:lpstr>F03 authApi.sendOtp</vt:lpstr>
      <vt:lpstr>F04 authApi.verifyOtp</vt:lpstr>
      <vt:lpstr>F05 authApi.registerPersonal</vt:lpstr>
      <vt:lpstr>F06 authApi.registerBusiness</vt:lpstr>
      <vt:lpstr>F07 authApi.googleLogin</vt:lpstr>
      <vt:lpstr>F08 Request interceptor (gắn to</vt:lpstr>
      <vt:lpstr>F09 Response interceptor - chuẩ</vt:lpstr>
      <vt:lpstr>F10 Response interceptor - refr</vt:lpstr>
      <vt:lpstr>F11 Response interceptor - lỗi</vt:lpstr>
      <vt:lpstr>F12 MAIN_CATEGORIES</vt:lpstr>
      <vt:lpstr>F13 GENERAL_FILTERS</vt:lpstr>
      <vt:lpstr>F14 SPECIFIC_FILTERS</vt:lpstr>
      <vt:lpstr>F15 apiClient (module export)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HomeCycle Dev Team</dc:creator>
  <dc:title/>
  <dc:subject/>
  <dc:description/>
  <cp:keywords/>
  <cp:category/>
  <cp:lastModifiedBy>Unknown</cp:lastModifiedBy>
  <dcterms:created xsi:type="dcterms:W3CDTF">2026-08-14T11:54:40Z</dcterms:created>
  <dcterms:modified xsi:type="dcterms:W3CDTF">2026-08-14T11:54:40Z</dcterms:modified>
</cp:coreProperties>
</file>